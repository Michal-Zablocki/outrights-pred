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Premier League - Winner" sheetId="2" r:id="rId5"/>
    <sheet state="visible" name="Premier League - Relegation" sheetId="3" r:id="rId6"/>
    <sheet state="visible" name="Serie A - Winner" sheetId="4" r:id="rId7"/>
    <sheet state="visible" name="La Liga - Winner" sheetId="5" r:id="rId8"/>
  </sheets>
  <definedNames/>
  <calcPr/>
</workbook>
</file>

<file path=xl/sharedStrings.xml><?xml version="1.0" encoding="utf-8"?>
<sst xmlns="http://schemas.openxmlformats.org/spreadsheetml/2006/main" count="1771" uniqueCount="584">
  <si>
    <t>Source</t>
  </si>
  <si>
    <t>https://www.sportsoddshistory.com/soccer-odds/</t>
  </si>
  <si>
    <t>Team</t>
  </si>
  <si>
    <t>2025/2026</t>
  </si>
  <si>
    <t>Premier League</t>
  </si>
  <si>
    <r>
      <rPr>
        <color rgb="FF1155CC"/>
        <u/>
      </rPr>
      <t>Arsenal</t>
    </r>
  </si>
  <si>
    <r>
      <rPr>
        <color rgb="FF1155CC"/>
        <u/>
      </rPr>
      <t>Manchester City</t>
    </r>
  </si>
  <si>
    <r>
      <rPr>
        <color rgb="FF1155CC"/>
        <u/>
      </rPr>
      <t>Liverpool</t>
    </r>
  </si>
  <si>
    <r>
      <rPr>
        <color rgb="FF1155CC"/>
        <u/>
      </rPr>
      <t>Manchester United</t>
    </r>
  </si>
  <si>
    <r>
      <rPr>
        <color rgb="FF1155CC"/>
        <u/>
      </rPr>
      <t>Chelsea</t>
    </r>
  </si>
  <si>
    <r>
      <rPr>
        <color rgb="FF1155CC"/>
        <u/>
      </rPr>
      <t>Tottenham Hotspur</t>
    </r>
  </si>
  <si>
    <r>
      <rPr>
        <color rgb="FF1155CC"/>
        <u/>
      </rPr>
      <t>Newcastle United</t>
    </r>
  </si>
  <si>
    <r>
      <rPr>
        <color rgb="FF1155CC"/>
        <u/>
      </rPr>
      <t>Bournemouth</t>
    </r>
  </si>
  <si>
    <r>
      <rPr>
        <color rgb="FF1155CC"/>
        <u/>
      </rPr>
      <t>Sunderland</t>
    </r>
  </si>
  <si>
    <r>
      <rPr>
        <color rgb="FF1155CC"/>
        <u/>
      </rPr>
      <t>Brighton</t>
    </r>
  </si>
  <si>
    <r>
      <rPr>
        <color rgb="FF1155CC"/>
        <u/>
      </rPr>
      <t>Aston Villa</t>
    </r>
  </si>
  <si>
    <r>
      <rPr>
        <color rgb="FF1155CC"/>
        <u/>
      </rPr>
      <t>Crystal Palace</t>
    </r>
  </si>
  <si>
    <r>
      <rPr>
        <color rgb="FF1155CC"/>
        <u/>
      </rPr>
      <t>Everton</t>
    </r>
  </si>
  <si>
    <r>
      <rPr>
        <color rgb="FF1155CC"/>
        <u/>
      </rPr>
      <t>Brentford</t>
    </r>
  </si>
  <si>
    <r>
      <rPr>
        <color rgb="FF1155CC"/>
        <u/>
      </rPr>
      <t>Nottingham Forest</t>
    </r>
  </si>
  <si>
    <r>
      <rPr>
        <color rgb="FF1155CC"/>
        <u/>
      </rPr>
      <t>Fulham</t>
    </r>
  </si>
  <si>
    <r>
      <rPr>
        <color rgb="FF1155CC"/>
        <u/>
      </rPr>
      <t>Leeds United</t>
    </r>
  </si>
  <si>
    <r>
      <rPr>
        <color rgb="FF1155CC"/>
        <u/>
      </rPr>
      <t>West Ham United</t>
    </r>
  </si>
  <si>
    <r>
      <rPr>
        <color rgb="FF1155CC"/>
        <u/>
      </rPr>
      <t>Burnley</t>
    </r>
  </si>
  <si>
    <r>
      <rPr>
        <color rgb="FF1155CC"/>
        <u/>
      </rPr>
      <t>Wolverhampton</t>
    </r>
  </si>
  <si>
    <t>2024/2025</t>
  </si>
  <si>
    <r>
      <rPr>
        <color rgb="FF1155CC"/>
        <u/>
      </rPr>
      <t>Liverpool</t>
    </r>
  </si>
  <si>
    <t>** WINNER **</t>
  </si>
  <si>
    <r>
      <rPr>
        <color rgb="FF1155CC"/>
        <u/>
      </rPr>
      <t>Arsenal</t>
    </r>
  </si>
  <si>
    <r>
      <rPr>
        <color rgb="FF1155CC"/>
        <u/>
      </rPr>
      <t>Nottingham Forest</t>
    </r>
  </si>
  <si>
    <r>
      <rPr>
        <color rgb="FF1155CC"/>
        <u/>
      </rPr>
      <t>Manchester City</t>
    </r>
  </si>
  <si>
    <r>
      <rPr>
        <color rgb="FF1155CC"/>
        <u/>
      </rPr>
      <t>Chelsea</t>
    </r>
  </si>
  <si>
    <r>
      <rPr>
        <color rgb="FF1155CC"/>
        <u/>
      </rPr>
      <t>Newcastle United</t>
    </r>
  </si>
  <si>
    <r>
      <rPr>
        <color rgb="FF1155CC"/>
        <u/>
      </rPr>
      <t>Aston Villa</t>
    </r>
  </si>
  <si>
    <r>
      <rPr>
        <color rgb="FF1155CC"/>
        <u/>
      </rPr>
      <t>Tottenham Hotspur</t>
    </r>
  </si>
  <si>
    <r>
      <rPr>
        <color rgb="FF1155CC"/>
        <u/>
      </rPr>
      <t>Manchester United</t>
    </r>
  </si>
  <si>
    <r>
      <rPr>
        <color rgb="FF1155CC"/>
        <u/>
      </rPr>
      <t>Brighton</t>
    </r>
  </si>
  <si>
    <r>
      <rPr>
        <color rgb="FF1155CC"/>
        <u/>
      </rPr>
      <t>Fulham</t>
    </r>
  </si>
  <si>
    <r>
      <rPr>
        <color rgb="FF1155CC"/>
        <u/>
      </rPr>
      <t>Everton</t>
    </r>
  </si>
  <si>
    <r>
      <rPr>
        <color rgb="FF1155CC"/>
        <u/>
      </rPr>
      <t>West Ham United</t>
    </r>
  </si>
  <si>
    <r>
      <rPr>
        <color rgb="FF1155CC"/>
        <u/>
      </rPr>
      <t>Crystal Palace</t>
    </r>
  </si>
  <si>
    <r>
      <rPr>
        <color rgb="FF1155CC"/>
        <u/>
      </rPr>
      <t>Bournemouth</t>
    </r>
  </si>
  <si>
    <r>
      <rPr>
        <color rgb="FF1155CC"/>
        <u/>
      </rPr>
      <t>Brentford</t>
    </r>
  </si>
  <si>
    <r>
      <rPr>
        <color rgb="FF1155CC"/>
        <u/>
      </rPr>
      <t>Wolverhampton</t>
    </r>
  </si>
  <si>
    <r>
      <rPr>
        <color rgb="FF1155CC"/>
        <u/>
      </rPr>
      <t>Leicester City</t>
    </r>
  </si>
  <si>
    <r>
      <rPr>
        <color rgb="FF1155CC"/>
        <u/>
      </rPr>
      <t>Ipswich Town</t>
    </r>
  </si>
  <si>
    <r>
      <rPr>
        <color rgb="FF1155CC"/>
        <u/>
      </rPr>
      <t>Southampton</t>
    </r>
  </si>
  <si>
    <t>2023/2024</t>
  </si>
  <si>
    <r>
      <rPr>
        <color rgb="FF1155CC"/>
        <u/>
      </rPr>
      <t>Manchester City</t>
    </r>
  </si>
  <si>
    <r>
      <rPr>
        <color rgb="FF1155CC"/>
        <u/>
      </rPr>
      <t>Arsenal</t>
    </r>
  </si>
  <si>
    <r>
      <rPr>
        <color rgb="FF1155CC"/>
        <u/>
      </rPr>
      <t>Liverpool</t>
    </r>
  </si>
  <si>
    <r>
      <rPr>
        <color rgb="FF1155CC"/>
        <u/>
      </rPr>
      <t>Aston Villa</t>
    </r>
  </si>
  <si>
    <r>
      <rPr>
        <color rgb="FF1155CC"/>
        <u/>
      </rPr>
      <t>Tottenham Hotspur</t>
    </r>
  </si>
  <si>
    <r>
      <rPr>
        <color rgb="FF1155CC"/>
        <u/>
      </rPr>
      <t>Manchester United</t>
    </r>
  </si>
  <si>
    <r>
      <rPr>
        <color rgb="FF1155CC"/>
        <u/>
      </rPr>
      <t>West Ham United</t>
    </r>
  </si>
  <si>
    <r>
      <rPr>
        <color rgb="FF1155CC"/>
        <u/>
      </rPr>
      <t>Newcastle United</t>
    </r>
  </si>
  <si>
    <r>
      <rPr>
        <color rgb="FF1155CC"/>
        <u/>
      </rPr>
      <t>Brighton</t>
    </r>
  </si>
  <si>
    <r>
      <rPr>
        <color rgb="FF1155CC"/>
        <u/>
      </rPr>
      <t>Chelsea</t>
    </r>
  </si>
  <si>
    <r>
      <rPr>
        <color rgb="FF1155CC"/>
        <u/>
      </rPr>
      <t>Wolverhampton</t>
    </r>
  </si>
  <si>
    <r>
      <rPr>
        <color rgb="FF1155CC"/>
        <u/>
      </rPr>
      <t>Bournemouth</t>
    </r>
  </si>
  <si>
    <r>
      <rPr>
        <color rgb="FF1155CC"/>
        <u/>
      </rPr>
      <t>Crystal Palace</t>
    </r>
  </si>
  <si>
    <r>
      <rPr>
        <color rgb="FF1155CC"/>
        <u/>
      </rPr>
      <t>Fulham</t>
    </r>
  </si>
  <si>
    <r>
      <rPr>
        <color rgb="FF1155CC"/>
        <u/>
      </rPr>
      <t>Brentford</t>
    </r>
  </si>
  <si>
    <r>
      <rPr>
        <color rgb="FF1155CC"/>
        <u/>
      </rPr>
      <t>Nottingham Forest</t>
    </r>
  </si>
  <si>
    <r>
      <rPr>
        <color rgb="FF1155CC"/>
        <u/>
      </rPr>
      <t>Burnley</t>
    </r>
  </si>
  <si>
    <r>
      <rPr>
        <color rgb="FF1155CC"/>
        <u/>
      </rPr>
      <t>Everton</t>
    </r>
  </si>
  <si>
    <r>
      <rPr>
        <color rgb="FF1155CC"/>
        <u/>
      </rPr>
      <t>Sheffield United</t>
    </r>
  </si>
  <si>
    <r>
      <rPr>
        <color rgb="FF1155CC"/>
        <u/>
      </rPr>
      <t>Luton Town</t>
    </r>
  </si>
  <si>
    <t>2022/2023</t>
  </si>
  <si>
    <r>
      <rPr>
        <color rgb="FF1155CC"/>
        <u/>
      </rPr>
      <t>Manchester City</t>
    </r>
  </si>
  <si>
    <r>
      <rPr>
        <color rgb="FF1155CC"/>
        <u/>
      </rPr>
      <t>Arsenal</t>
    </r>
  </si>
  <si>
    <r>
      <rPr>
        <color rgb="FF1155CC"/>
        <u/>
      </rPr>
      <t>Manchester United</t>
    </r>
  </si>
  <si>
    <r>
      <rPr>
        <color rgb="FF1155CC"/>
        <u/>
      </rPr>
      <t>Newcastle United</t>
    </r>
  </si>
  <si>
    <r>
      <rPr>
        <color rgb="FF1155CC"/>
        <u/>
      </rPr>
      <t>Tottenham Hotspur</t>
    </r>
  </si>
  <si>
    <r>
      <rPr>
        <color rgb="FF1155CC"/>
        <u/>
      </rPr>
      <t>Liverpool</t>
    </r>
  </si>
  <si>
    <r>
      <rPr>
        <color rgb="FF1155CC"/>
        <u/>
      </rPr>
      <t>Chelsea</t>
    </r>
  </si>
  <si>
    <r>
      <rPr>
        <color rgb="FF1155CC"/>
        <u/>
      </rPr>
      <t>Brighton</t>
    </r>
  </si>
  <si>
    <r>
      <rPr>
        <color rgb="FF1155CC"/>
        <u/>
      </rPr>
      <t>Brentford</t>
    </r>
  </si>
  <si>
    <r>
      <rPr>
        <color rgb="FF1155CC"/>
        <u/>
      </rPr>
      <t>West Ham United</t>
    </r>
  </si>
  <si>
    <r>
      <rPr>
        <color rgb="FF1155CC"/>
        <u/>
      </rPr>
      <t>Crystal Palace</t>
    </r>
  </si>
  <si>
    <r>
      <rPr>
        <color rgb="FF1155CC"/>
        <u/>
      </rPr>
      <t>Leeds United</t>
    </r>
  </si>
  <si>
    <r>
      <rPr>
        <color rgb="FF1155CC"/>
        <u/>
      </rPr>
      <t>Southampton</t>
    </r>
  </si>
  <si>
    <r>
      <rPr>
        <color rgb="FF1155CC"/>
        <u/>
      </rPr>
      <t>Leicester City</t>
    </r>
  </si>
  <si>
    <r>
      <rPr>
        <color rgb="FF1155CC"/>
        <u/>
      </rPr>
      <t>Everton</t>
    </r>
  </si>
  <si>
    <r>
      <rPr>
        <color rgb="FF1155CC"/>
        <u/>
      </rPr>
      <t>Aston Villa</t>
    </r>
  </si>
  <si>
    <r>
      <rPr>
        <color rgb="FF1155CC"/>
        <u/>
      </rPr>
      <t>Wolverhampton</t>
    </r>
  </si>
  <si>
    <r>
      <rPr>
        <color rgb="FF1155CC"/>
        <u/>
      </rPr>
      <t>Fulham</t>
    </r>
  </si>
  <si>
    <r>
      <rPr>
        <color rgb="FF1155CC"/>
        <u/>
      </rPr>
      <t>Bournemouth</t>
    </r>
  </si>
  <si>
    <r>
      <rPr>
        <color rgb="FF1155CC"/>
        <u/>
      </rPr>
      <t>Nottingham Forest</t>
    </r>
  </si>
  <si>
    <t>2021/2022</t>
  </si>
  <si>
    <r>
      <rPr>
        <color rgb="FF1155CC"/>
        <u/>
      </rPr>
      <t>Manchester City</t>
    </r>
  </si>
  <si>
    <r>
      <rPr>
        <color rgb="FF1155CC"/>
        <u/>
      </rPr>
      <t>Liverpool</t>
    </r>
  </si>
  <si>
    <r>
      <rPr>
        <color rgb="FF1155CC"/>
        <u/>
      </rPr>
      <t>Chelsea</t>
    </r>
  </si>
  <si>
    <r>
      <rPr>
        <color rgb="FF1155CC"/>
        <u/>
      </rPr>
      <t>Manchester United</t>
    </r>
  </si>
  <si>
    <r>
      <rPr>
        <color rgb="FF1155CC"/>
        <u/>
      </rPr>
      <t>Arsenal</t>
    </r>
  </si>
  <si>
    <r>
      <rPr>
        <color rgb="FF1155CC"/>
        <u/>
      </rPr>
      <t>Tottenham Hotspur</t>
    </r>
  </si>
  <si>
    <r>
      <rPr>
        <color rgb="FF1155CC"/>
        <u/>
      </rPr>
      <t>West Ham United</t>
    </r>
  </si>
  <si>
    <r>
      <rPr>
        <color rgb="FF1155CC"/>
        <u/>
      </rPr>
      <t>Leicester City</t>
    </r>
  </si>
  <si>
    <r>
      <rPr>
        <color rgb="FF1155CC"/>
        <u/>
      </rPr>
      <t>Wolverhampton</t>
    </r>
  </si>
  <si>
    <r>
      <rPr>
        <color rgb="FF1155CC"/>
        <u/>
      </rPr>
      <t>Brighton</t>
    </r>
  </si>
  <si>
    <r>
      <rPr>
        <color rgb="FF1155CC"/>
        <u/>
      </rPr>
      <t>Everton</t>
    </r>
  </si>
  <si>
    <r>
      <rPr>
        <color rgb="FF1155CC"/>
        <u/>
      </rPr>
      <t>Crystal Palace</t>
    </r>
  </si>
  <si>
    <r>
      <rPr>
        <color rgb="FF1155CC"/>
        <u/>
      </rPr>
      <t>Aston Villa</t>
    </r>
  </si>
  <si>
    <r>
      <rPr>
        <color rgb="FF1155CC"/>
        <u/>
      </rPr>
      <t>Brentford</t>
    </r>
  </si>
  <si>
    <r>
      <rPr>
        <color rgb="FF1155CC"/>
        <u/>
      </rPr>
      <t>Southampton</t>
    </r>
  </si>
  <si>
    <r>
      <rPr>
        <color rgb="FF1155CC"/>
        <u/>
      </rPr>
      <t>Leeds United</t>
    </r>
  </si>
  <si>
    <r>
      <rPr>
        <color rgb="FF1155CC"/>
        <u/>
      </rPr>
      <t>Newcastle United</t>
    </r>
  </si>
  <si>
    <r>
      <rPr>
        <color rgb="FF1155CC"/>
        <u/>
      </rPr>
      <t>Burnley</t>
    </r>
  </si>
  <si>
    <r>
      <rPr>
        <color rgb="FF1155CC"/>
        <u/>
      </rPr>
      <t>Watford</t>
    </r>
  </si>
  <si>
    <r>
      <rPr>
        <color rgb="FF1155CC"/>
        <u/>
      </rPr>
      <t>Norwich City</t>
    </r>
  </si>
  <si>
    <t>2020/2021</t>
  </si>
  <si>
    <r>
      <rPr>
        <color rgb="FF1155CC"/>
        <u/>
      </rPr>
      <t>Manchester City</t>
    </r>
  </si>
  <si>
    <r>
      <rPr>
        <color rgb="FF1155CC"/>
        <u/>
      </rPr>
      <t>Manchester United</t>
    </r>
  </si>
  <si>
    <r>
      <rPr>
        <color rgb="FF1155CC"/>
        <u/>
      </rPr>
      <t>Leicester City</t>
    </r>
  </si>
  <si>
    <r>
      <rPr>
        <color rgb="FF1155CC"/>
        <u/>
      </rPr>
      <t>Liverpool</t>
    </r>
  </si>
  <si>
    <r>
      <rPr>
        <color rgb="FF1155CC"/>
        <u/>
      </rPr>
      <t>Chelsea</t>
    </r>
  </si>
  <si>
    <r>
      <rPr>
        <color rgb="FF1155CC"/>
        <u/>
      </rPr>
      <t>West Ham United</t>
    </r>
  </si>
  <si>
    <r>
      <rPr>
        <color rgb="FF1155CC"/>
        <u/>
      </rPr>
      <t>Tottenham Hotspur</t>
    </r>
  </si>
  <si>
    <r>
      <rPr>
        <color rgb="FF1155CC"/>
        <u/>
      </rPr>
      <t>Everton</t>
    </r>
  </si>
  <si>
    <r>
      <rPr>
        <color rgb="FF1155CC"/>
        <u/>
      </rPr>
      <t>Aston Villa</t>
    </r>
  </si>
  <si>
    <r>
      <rPr>
        <color rgb="FF1155CC"/>
        <u/>
      </rPr>
      <t>Arsenal</t>
    </r>
  </si>
  <si>
    <r>
      <rPr>
        <color rgb="FF1155CC"/>
        <u/>
      </rPr>
      <t>Leeds United</t>
    </r>
  </si>
  <si>
    <r>
      <rPr>
        <color rgb="FF1155CC"/>
        <u/>
      </rPr>
      <t>Southampton</t>
    </r>
  </si>
  <si>
    <r>
      <rPr>
        <color rgb="FF1155CC"/>
        <u/>
      </rPr>
      <t>Wolverhampton</t>
    </r>
  </si>
  <si>
    <r>
      <rPr>
        <color rgb="FF1155CC"/>
        <u/>
      </rPr>
      <t>Crystal Palace</t>
    </r>
  </si>
  <si>
    <r>
      <rPr>
        <color rgb="FF1155CC"/>
        <u/>
      </rPr>
      <t>Newcastle United</t>
    </r>
  </si>
  <si>
    <r>
      <rPr>
        <color rgb="FF1155CC"/>
        <u/>
      </rPr>
      <t>Brighton</t>
    </r>
  </si>
  <si>
    <r>
      <rPr>
        <color rgb="FF1155CC"/>
        <u/>
      </rPr>
      <t>Burnley</t>
    </r>
  </si>
  <si>
    <r>
      <rPr>
        <color rgb="FF1155CC"/>
        <u/>
      </rPr>
      <t>West Bromwich Albion</t>
    </r>
  </si>
  <si>
    <r>
      <rPr>
        <color rgb="FF1155CC"/>
        <u/>
      </rPr>
      <t>Fulham</t>
    </r>
  </si>
  <si>
    <r>
      <rPr>
        <color rgb="FF1155CC"/>
        <u/>
      </rPr>
      <t>Sheffield United</t>
    </r>
  </si>
  <si>
    <r>
      <rPr>
        <color rgb="FF1155CC"/>
        <u/>
      </rPr>
      <t>Wolverhampton</t>
    </r>
  </si>
  <si>
    <r>
      <rPr>
        <color rgb="FF1155CC"/>
        <u/>
      </rPr>
      <t>Burnley</t>
    </r>
  </si>
  <si>
    <r>
      <rPr>
        <color rgb="FF1155CC"/>
        <u/>
      </rPr>
      <t>West Ham United</t>
    </r>
  </si>
  <si>
    <r>
      <rPr>
        <color rgb="FF1155CC"/>
        <u/>
      </rPr>
      <t>Nottingham Forest</t>
    </r>
  </si>
  <si>
    <r>
      <rPr>
        <color rgb="FF1155CC"/>
        <u/>
      </rPr>
      <t>Leeds United</t>
    </r>
  </si>
  <si>
    <r>
      <rPr>
        <color rgb="FF1155CC"/>
        <u/>
      </rPr>
      <t>Fulham</t>
    </r>
  </si>
  <si>
    <r>
      <rPr>
        <color rgb="FF1155CC"/>
        <u/>
      </rPr>
      <t>Sunderland</t>
    </r>
  </si>
  <si>
    <r>
      <rPr>
        <color rgb="FF1155CC"/>
        <u/>
      </rPr>
      <t>Everton</t>
    </r>
  </si>
  <si>
    <r>
      <rPr>
        <color rgb="FF1155CC"/>
        <u/>
      </rPr>
      <t>Brentford</t>
    </r>
  </si>
  <si>
    <r>
      <rPr>
        <color rgb="FF1155CC"/>
        <u/>
      </rPr>
      <t>Manchester City</t>
    </r>
  </si>
  <si>
    <r>
      <rPr>
        <color rgb="FF1155CC"/>
        <u/>
      </rPr>
      <t>Brighton</t>
    </r>
  </si>
  <si>
    <r>
      <rPr>
        <color rgb="FF1155CC"/>
        <u/>
      </rPr>
      <t>Crystal Palace</t>
    </r>
  </si>
  <si>
    <r>
      <rPr>
        <color rgb="FF1155CC"/>
        <u/>
      </rPr>
      <t>Aston Villa</t>
    </r>
  </si>
  <si>
    <r>
      <rPr>
        <color rgb="FF1155CC"/>
        <u/>
      </rPr>
      <t>Manchester United</t>
    </r>
  </si>
  <si>
    <r>
      <rPr>
        <color rgb="FF1155CC"/>
        <u/>
      </rPr>
      <t>Bournemouth</t>
    </r>
  </si>
  <si>
    <r>
      <rPr>
        <color rgb="FF1155CC"/>
        <u/>
      </rPr>
      <t>Chelsea</t>
    </r>
  </si>
  <si>
    <r>
      <rPr>
        <color rgb="FF1155CC"/>
        <u/>
      </rPr>
      <t>Tottenham Hotspur</t>
    </r>
  </si>
  <si>
    <r>
      <rPr>
        <color rgb="FF1155CC"/>
        <u/>
      </rPr>
      <t>Newcastle United</t>
    </r>
  </si>
  <si>
    <r>
      <rPr>
        <color rgb="FF1155CC"/>
        <u/>
      </rPr>
      <t>Liverpool</t>
    </r>
  </si>
  <si>
    <r>
      <rPr>
        <color rgb="FF1155CC"/>
        <u/>
      </rPr>
      <t>Arsenal</t>
    </r>
  </si>
  <si>
    <r>
      <rPr>
        <b/>
        <color rgb="FF1155CC"/>
        <u/>
      </rPr>
      <t>Leicester City</t>
    </r>
  </si>
  <si>
    <t>** RELEGATED **</t>
  </si>
  <si>
    <r>
      <rPr>
        <b/>
        <color rgb="FF1155CC"/>
        <u/>
      </rPr>
      <t>Ipswich Town</t>
    </r>
  </si>
  <si>
    <r>
      <rPr>
        <b/>
        <color rgb="FF1155CC"/>
        <u/>
      </rPr>
      <t>Southampton</t>
    </r>
  </si>
  <si>
    <r>
      <rPr>
        <b/>
        <color rgb="FF1155CC"/>
        <u/>
      </rPr>
      <t>Manchester City</t>
    </r>
  </si>
  <si>
    <r>
      <rPr>
        <b/>
        <color rgb="FF1155CC"/>
        <u/>
      </rPr>
      <t>Wolverhampton</t>
    </r>
  </si>
  <si>
    <r>
      <rPr>
        <b/>
        <color rgb="FF1155CC"/>
        <u/>
      </rPr>
      <t>Everton</t>
    </r>
  </si>
  <si>
    <r>
      <rPr>
        <b/>
        <color rgb="FF1155CC"/>
        <u/>
      </rPr>
      <t>West Ham United</t>
    </r>
  </si>
  <si>
    <r>
      <rPr>
        <b/>
        <color rgb="FF1155CC"/>
        <u/>
      </rPr>
      <t>Manchester United</t>
    </r>
  </si>
  <si>
    <r>
      <rPr>
        <b/>
        <color rgb="FF1155CC"/>
        <u/>
      </rPr>
      <t>Tottenham Hotspur</t>
    </r>
  </si>
  <si>
    <r>
      <rPr>
        <b/>
        <color rgb="FF1155CC"/>
        <u/>
      </rPr>
      <t>Crystal Palace</t>
    </r>
  </si>
  <si>
    <r>
      <rPr>
        <b/>
        <color rgb="FF1155CC"/>
        <u/>
      </rPr>
      <t>Brentford</t>
    </r>
  </si>
  <si>
    <r>
      <rPr>
        <b/>
        <color rgb="FF1155CC"/>
        <u/>
      </rPr>
      <t>Brighton</t>
    </r>
  </si>
  <si>
    <r>
      <rPr>
        <b/>
        <color rgb="FF1155CC"/>
        <u/>
      </rPr>
      <t>Fulham</t>
    </r>
  </si>
  <si>
    <r>
      <rPr>
        <b/>
        <color rgb="FF1155CC"/>
        <u/>
      </rPr>
      <t>Bournemouth</t>
    </r>
  </si>
  <si>
    <r>
      <rPr>
        <b/>
        <color rgb="FF1155CC"/>
        <u/>
      </rPr>
      <t>Nottingham Forest</t>
    </r>
  </si>
  <si>
    <r>
      <rPr>
        <b/>
        <color rgb="FF1155CC"/>
        <u/>
      </rPr>
      <t>Chelsea</t>
    </r>
  </si>
  <si>
    <r>
      <rPr>
        <b/>
        <color rgb="FF1155CC"/>
        <u/>
      </rPr>
      <t>Newcastle United</t>
    </r>
  </si>
  <si>
    <r>
      <rPr>
        <b/>
        <color rgb="FF1155CC"/>
        <u/>
      </rPr>
      <t>Aston Villa</t>
    </r>
  </si>
  <si>
    <r>
      <rPr>
        <b/>
        <color rgb="FF1155CC"/>
        <u/>
      </rPr>
      <t>Arsenal</t>
    </r>
  </si>
  <si>
    <r>
      <rPr>
        <b/>
        <color rgb="FF1155CC"/>
        <u/>
      </rPr>
      <t>Liverpool</t>
    </r>
  </si>
  <si>
    <r>
      <rPr>
        <b/>
        <color rgb="FF1155CC"/>
        <u/>
      </rPr>
      <t>Burnley</t>
    </r>
  </si>
  <si>
    <r>
      <rPr>
        <b/>
        <color rgb="FF1155CC"/>
        <u/>
      </rPr>
      <t>Luton Town</t>
    </r>
  </si>
  <si>
    <r>
      <rPr>
        <b/>
        <color rgb="FF1155CC"/>
        <u/>
      </rPr>
      <t>Sheffield United</t>
    </r>
  </si>
  <si>
    <r>
      <rPr>
        <b/>
        <color rgb="FF1155CC"/>
        <u/>
      </rPr>
      <t>Nottingham Forest</t>
    </r>
  </si>
  <si>
    <r>
      <rPr>
        <b/>
        <color rgb="FF1155CC"/>
        <u/>
      </rPr>
      <t>Everton</t>
    </r>
  </si>
  <si>
    <r>
      <rPr>
        <b/>
        <color rgb="FF1155CC"/>
        <u/>
      </rPr>
      <t>Brentford</t>
    </r>
  </si>
  <si>
    <r>
      <rPr>
        <b/>
        <color rgb="FF1155CC"/>
        <u/>
      </rPr>
      <t>Crystal Palace</t>
    </r>
  </si>
  <si>
    <r>
      <rPr>
        <b/>
        <color rgb="FF1155CC"/>
        <u/>
      </rPr>
      <t>Fulham</t>
    </r>
  </si>
  <si>
    <r>
      <rPr>
        <b/>
        <color rgb="FF1155CC"/>
        <u/>
      </rPr>
      <t>Bournemouth</t>
    </r>
  </si>
  <si>
    <r>
      <rPr>
        <b/>
        <color rgb="FF1155CC"/>
        <u/>
      </rPr>
      <t>Wolverhampton</t>
    </r>
  </si>
  <si>
    <r>
      <rPr>
        <b/>
        <color rgb="FF1155CC"/>
        <u/>
      </rPr>
      <t>West Ham United</t>
    </r>
  </si>
  <si>
    <r>
      <rPr>
        <b/>
        <color rgb="FF1155CC"/>
        <u/>
      </rPr>
      <t>Aston Villa</t>
    </r>
  </si>
  <si>
    <r>
      <rPr>
        <b/>
        <color rgb="FF1155CC"/>
        <u/>
      </rPr>
      <t>Brighton</t>
    </r>
  </si>
  <si>
    <r>
      <rPr>
        <b/>
        <color rgb="FF1155CC"/>
        <u/>
      </rPr>
      <t>Tottenham Hotspur</t>
    </r>
  </si>
  <si>
    <r>
      <rPr>
        <b/>
        <color rgb="FF1155CC"/>
        <u/>
      </rPr>
      <t>Chelsea</t>
    </r>
  </si>
  <si>
    <r>
      <rPr>
        <b/>
        <color rgb="FF1155CC"/>
        <u/>
      </rPr>
      <t>Newcastle United</t>
    </r>
  </si>
  <si>
    <r>
      <rPr>
        <b/>
        <color rgb="FF1155CC"/>
        <u/>
      </rPr>
      <t>Arsenal</t>
    </r>
  </si>
  <si>
    <r>
      <rPr>
        <b/>
        <color rgb="FF1155CC"/>
        <u/>
      </rPr>
      <t>Liverpool</t>
    </r>
  </si>
  <si>
    <r>
      <rPr>
        <b/>
        <color rgb="FF1155CC"/>
        <u/>
      </rPr>
      <t>Manchester City</t>
    </r>
  </si>
  <si>
    <r>
      <rPr>
        <b/>
        <color rgb="FF1155CC"/>
        <u/>
      </rPr>
      <t>Manchester United</t>
    </r>
  </si>
  <si>
    <r>
      <rPr>
        <b/>
        <color rgb="FF1155CC"/>
        <u/>
      </rPr>
      <t>Southampton</t>
    </r>
  </si>
  <si>
    <r>
      <rPr>
        <b/>
        <color rgb="FF1155CC"/>
        <u/>
      </rPr>
      <t>Leeds United</t>
    </r>
  </si>
  <si>
    <r>
      <rPr>
        <b/>
        <color rgb="FF1155CC"/>
        <u/>
      </rPr>
      <t>Leicester City</t>
    </r>
  </si>
  <si>
    <r>
      <rPr>
        <b/>
        <color rgb="FF1155CC"/>
        <u/>
      </rPr>
      <t>Everton</t>
    </r>
  </si>
  <si>
    <r>
      <rPr>
        <b/>
        <color rgb="FF1155CC"/>
        <u/>
      </rPr>
      <t>Nottingham Forest</t>
    </r>
  </si>
  <si>
    <r>
      <rPr>
        <b/>
        <color rgb="FF1155CC"/>
        <u/>
      </rPr>
      <t>West Ham United</t>
    </r>
  </si>
  <si>
    <r>
      <rPr>
        <b/>
        <color rgb="FF1155CC"/>
        <u/>
      </rPr>
      <t>Wolverhampton</t>
    </r>
  </si>
  <si>
    <r>
      <rPr>
        <b/>
        <color rgb="FF1155CC"/>
        <u/>
      </rPr>
      <t>Bournemouth</t>
    </r>
  </si>
  <si>
    <r>
      <rPr>
        <b/>
        <color rgb="FF1155CC"/>
        <u/>
      </rPr>
      <t>Crystal Palace</t>
    </r>
  </si>
  <si>
    <r>
      <rPr>
        <b/>
        <color rgb="FF1155CC"/>
        <u/>
      </rPr>
      <t>Brentford</t>
    </r>
  </si>
  <si>
    <r>
      <rPr>
        <b/>
        <color rgb="FF1155CC"/>
        <u/>
      </rPr>
      <t>Aston Villa</t>
    </r>
  </si>
  <si>
    <r>
      <rPr>
        <b/>
        <color rgb="FF1155CC"/>
        <u/>
      </rPr>
      <t>Fulham</t>
    </r>
  </si>
  <si>
    <r>
      <rPr>
        <b/>
        <color rgb="FF1155CC"/>
        <u/>
      </rPr>
      <t>Brighton</t>
    </r>
  </si>
  <si>
    <r>
      <rPr>
        <b/>
        <color rgb="FF1155CC"/>
        <u/>
      </rPr>
      <t>Newcastle United</t>
    </r>
  </si>
  <si>
    <r>
      <rPr>
        <b/>
        <color rgb="FF1155CC"/>
        <u/>
      </rPr>
      <t>Burnley</t>
    </r>
  </si>
  <si>
    <r>
      <rPr>
        <b/>
        <color rgb="FF1155CC"/>
        <u/>
      </rPr>
      <t>Norwich City</t>
    </r>
  </si>
  <si>
    <r>
      <rPr>
        <b/>
        <color rgb="FF1155CC"/>
        <u/>
      </rPr>
      <t>Watford</t>
    </r>
  </si>
  <si>
    <r>
      <rPr>
        <b/>
        <color rgb="FF1155CC"/>
        <u/>
      </rPr>
      <t>Leeds United</t>
    </r>
  </si>
  <si>
    <r>
      <rPr>
        <b/>
        <color rgb="FF1155CC"/>
        <u/>
      </rPr>
      <t>Everton</t>
    </r>
  </si>
  <si>
    <r>
      <rPr>
        <b/>
        <color rgb="FF1155CC"/>
        <u/>
      </rPr>
      <t>Brentford</t>
    </r>
  </si>
  <si>
    <r>
      <rPr>
        <b/>
        <color rgb="FF1155CC"/>
        <u/>
      </rPr>
      <t>Newcastle United</t>
    </r>
  </si>
  <si>
    <r>
      <rPr>
        <b/>
        <color rgb="FF1155CC"/>
        <u/>
      </rPr>
      <t>Crystal Palace</t>
    </r>
  </si>
  <si>
    <r>
      <rPr>
        <b/>
        <color rgb="FF1155CC"/>
        <u/>
      </rPr>
      <t>Aston Villa</t>
    </r>
  </si>
  <si>
    <r>
      <rPr>
        <b/>
        <color rgb="FF1155CC"/>
        <u/>
      </rPr>
      <t>Leicester City</t>
    </r>
  </si>
  <si>
    <r>
      <rPr>
        <b/>
        <color rgb="FF1155CC"/>
        <u/>
      </rPr>
      <t>Southampton</t>
    </r>
  </si>
  <si>
    <r>
      <rPr>
        <b/>
        <color rgb="FF1155CC"/>
        <u/>
      </rPr>
      <t>Brighton</t>
    </r>
  </si>
  <si>
    <r>
      <rPr>
        <b/>
        <color rgb="FF1155CC"/>
        <u/>
      </rPr>
      <t>Wolverhampton</t>
    </r>
  </si>
  <si>
    <r>
      <rPr>
        <b/>
        <color rgb="FF1155CC"/>
        <u/>
      </rPr>
      <t>Tottenham Hotspur</t>
    </r>
  </si>
  <si>
    <r>
      <rPr>
        <b/>
        <color rgb="FF1155CC"/>
        <u/>
      </rPr>
      <t>Arsenal</t>
    </r>
  </si>
  <si>
    <r>
      <rPr>
        <b/>
        <color rgb="FF1155CC"/>
        <u/>
      </rPr>
      <t>Manchester United</t>
    </r>
  </si>
  <si>
    <r>
      <rPr>
        <b/>
        <color rgb="FF1155CC"/>
        <u/>
      </rPr>
      <t>West Ham United</t>
    </r>
  </si>
  <si>
    <r>
      <rPr>
        <b/>
        <color rgb="FF1155CC"/>
        <u/>
      </rPr>
      <t>Fulham</t>
    </r>
  </si>
  <si>
    <r>
      <rPr>
        <b/>
        <color rgb="FF1155CC"/>
        <u/>
      </rPr>
      <t>Sheffield United</t>
    </r>
  </si>
  <si>
    <r>
      <rPr>
        <b/>
        <color rgb="FF1155CC"/>
        <u/>
      </rPr>
      <t>West Bromwich Albion</t>
    </r>
  </si>
  <si>
    <r>
      <rPr>
        <b/>
        <color rgb="FF1155CC"/>
        <u/>
      </rPr>
      <t>Newcastle United</t>
    </r>
  </si>
  <si>
    <r>
      <rPr>
        <b/>
        <color rgb="FF1155CC"/>
        <u/>
      </rPr>
      <t>Burnley</t>
    </r>
  </si>
  <si>
    <r>
      <rPr>
        <b/>
        <color rgb="FF1155CC"/>
        <u/>
      </rPr>
      <t>Brighton</t>
    </r>
  </si>
  <si>
    <r>
      <rPr>
        <b/>
        <color rgb="FF1155CC"/>
        <u/>
      </rPr>
      <t>Crystal Palace</t>
    </r>
  </si>
  <si>
    <r>
      <rPr>
        <b/>
        <color rgb="FF1155CC"/>
        <u/>
      </rPr>
      <t>Wolverhampton</t>
    </r>
  </si>
  <si>
    <r>
      <rPr>
        <b/>
        <color rgb="FF1155CC"/>
        <u/>
      </rPr>
      <t>Leeds United</t>
    </r>
  </si>
  <si>
    <r>
      <rPr>
        <b/>
        <color rgb="FF1155CC"/>
        <u/>
      </rPr>
      <t>West Ham United</t>
    </r>
  </si>
  <si>
    <r>
      <rPr>
        <b/>
        <color rgb="FF1155CC"/>
        <u/>
      </rPr>
      <t>Southampton</t>
    </r>
  </si>
  <si>
    <r>
      <rPr>
        <b/>
        <color rgb="FF1155CC"/>
        <u/>
      </rPr>
      <t>Aston Villa</t>
    </r>
  </si>
  <si>
    <r>
      <rPr>
        <b/>
        <color rgb="FF1155CC"/>
        <u/>
      </rPr>
      <t>Everton</t>
    </r>
  </si>
  <si>
    <r>
      <rPr>
        <b/>
        <color rgb="FF1155CC"/>
        <u/>
      </rPr>
      <t>Leicester City</t>
    </r>
  </si>
  <si>
    <t>2019/2020</t>
  </si>
  <si>
    <r>
      <rPr>
        <b/>
        <color rgb="FF1155CC"/>
        <u/>
      </rPr>
      <t>Norwich City</t>
    </r>
  </si>
  <si>
    <r>
      <rPr>
        <b/>
        <color rgb="FF1155CC"/>
        <u/>
      </rPr>
      <t>Bournemouth</t>
    </r>
  </si>
  <si>
    <r>
      <rPr>
        <b/>
        <color rgb="FF1155CC"/>
        <u/>
      </rPr>
      <t>Watford</t>
    </r>
  </si>
  <si>
    <r>
      <rPr>
        <b/>
        <color rgb="FF1155CC"/>
        <u/>
      </rPr>
      <t>Aston Villa</t>
    </r>
  </si>
  <si>
    <r>
      <rPr>
        <b/>
        <color rgb="FF1155CC"/>
        <u/>
      </rPr>
      <t>West Ham United</t>
    </r>
  </si>
  <si>
    <r>
      <rPr>
        <b/>
        <color rgb="FF1155CC"/>
        <u/>
      </rPr>
      <t>Brighton</t>
    </r>
  </si>
  <si>
    <r>
      <rPr>
        <b/>
        <color rgb="FF1155CC"/>
        <u/>
      </rPr>
      <t>Newcastle United</t>
    </r>
  </si>
  <si>
    <r>
      <rPr>
        <b/>
        <color rgb="FF1155CC"/>
        <u/>
      </rPr>
      <t>Crystal Palace</t>
    </r>
  </si>
  <si>
    <r>
      <rPr>
        <b/>
        <color rgb="FF1155CC"/>
        <u/>
      </rPr>
      <t>Southampton</t>
    </r>
  </si>
  <si>
    <r>
      <rPr>
        <b/>
        <color rgb="FF1155CC"/>
        <u/>
      </rPr>
      <t>Burnley</t>
    </r>
  </si>
  <si>
    <r>
      <rPr>
        <b/>
        <color rgb="FF1155CC"/>
        <u/>
      </rPr>
      <t>Sheffield United</t>
    </r>
  </si>
  <si>
    <r>
      <rPr>
        <b/>
        <color rgb="FF1155CC"/>
        <u/>
      </rPr>
      <t>Wolverhampton</t>
    </r>
  </si>
  <si>
    <r>
      <rPr>
        <b/>
        <color rgb="FF1155CC"/>
        <u/>
      </rPr>
      <t>Everton</t>
    </r>
  </si>
  <si>
    <r>
      <rPr>
        <b/>
        <color rgb="FF1155CC"/>
        <u/>
      </rPr>
      <t>Arsenal</t>
    </r>
  </si>
  <si>
    <r>
      <rPr>
        <b/>
        <color rgb="FF1155CC"/>
        <u/>
      </rPr>
      <t>Tottenham Hotspur</t>
    </r>
  </si>
  <si>
    <r>
      <rPr>
        <b/>
        <color rgb="FF1155CC"/>
        <u/>
      </rPr>
      <t>Chelsea</t>
    </r>
  </si>
  <si>
    <r>
      <rPr>
        <b/>
        <color rgb="FF1155CC"/>
        <u/>
      </rPr>
      <t>Manchester United</t>
    </r>
  </si>
  <si>
    <r>
      <rPr>
        <b/>
        <color rgb="FF1155CC"/>
        <u/>
      </rPr>
      <t>Leicester City</t>
    </r>
  </si>
  <si>
    <r>
      <rPr>
        <b/>
        <color rgb="FF1155CC"/>
        <u/>
      </rPr>
      <t>Liverpool</t>
    </r>
  </si>
  <si>
    <r>
      <rPr>
        <b/>
        <color rgb="FF1155CC"/>
        <u/>
      </rPr>
      <t>Manchester City</t>
    </r>
  </si>
  <si>
    <t>2018/2019</t>
  </si>
  <si>
    <r>
      <rPr>
        <b/>
        <color rgb="FF1155CC"/>
        <u/>
      </rPr>
      <t>Cardiff City</t>
    </r>
  </si>
  <si>
    <r>
      <rPr>
        <b/>
        <color rgb="FF1155CC"/>
        <u/>
      </rPr>
      <t>Huddersfield Town</t>
    </r>
  </si>
  <si>
    <r>
      <rPr>
        <b/>
        <color rgb="FF1155CC"/>
        <u/>
      </rPr>
      <t>Fulham</t>
    </r>
  </si>
  <si>
    <r>
      <rPr>
        <b/>
        <color rgb="FF1155CC"/>
        <u/>
      </rPr>
      <t>Brighton</t>
    </r>
  </si>
  <si>
    <r>
      <rPr>
        <b/>
        <color rgb="FF1155CC"/>
        <u/>
      </rPr>
      <t>Burnley</t>
    </r>
  </si>
  <si>
    <r>
      <rPr>
        <b/>
        <color rgb="FF1155CC"/>
        <u/>
      </rPr>
      <t>Southampton</t>
    </r>
  </si>
  <si>
    <r>
      <rPr>
        <b/>
        <color rgb="FF1155CC"/>
        <u/>
      </rPr>
      <t>Newcastle United</t>
    </r>
  </si>
  <si>
    <r>
      <rPr>
        <b/>
        <color rgb="FF1155CC"/>
        <u/>
      </rPr>
      <t>Crystal Palace</t>
    </r>
  </si>
  <si>
    <r>
      <rPr>
        <b/>
        <color rgb="FF1155CC"/>
        <u/>
      </rPr>
      <t>Bournemouth</t>
    </r>
  </si>
  <si>
    <r>
      <rPr>
        <b/>
        <color rgb="FF1155CC"/>
        <u/>
      </rPr>
      <t>Leicester City</t>
    </r>
  </si>
  <si>
    <r>
      <rPr>
        <b/>
        <color rgb="FF1155CC"/>
        <u/>
      </rPr>
      <t>West Ham United</t>
    </r>
  </si>
  <si>
    <r>
      <rPr>
        <b/>
        <color rgb="FF1155CC"/>
        <u/>
      </rPr>
      <t>Everton</t>
    </r>
  </si>
  <si>
    <r>
      <rPr>
        <b/>
        <color rgb="FF1155CC"/>
        <u/>
      </rPr>
      <t>Watford</t>
    </r>
  </si>
  <si>
    <r>
      <rPr>
        <b/>
        <color rgb="FF1155CC"/>
        <u/>
      </rPr>
      <t>Wolverhampton</t>
    </r>
  </si>
  <si>
    <r>
      <rPr>
        <b/>
        <color rgb="FF1155CC"/>
        <u/>
      </rPr>
      <t>Manchester United</t>
    </r>
  </si>
  <si>
    <r>
      <rPr>
        <b/>
        <color rgb="FF1155CC"/>
        <u/>
      </rPr>
      <t>Arsenal</t>
    </r>
  </si>
  <si>
    <r>
      <rPr>
        <b/>
        <color rgb="FF1155CC"/>
        <u/>
      </rPr>
      <t>Chelsea</t>
    </r>
  </si>
  <si>
    <r>
      <rPr>
        <b/>
        <color rgb="FF1155CC"/>
        <u/>
      </rPr>
      <t>Tottenham Hotspur</t>
    </r>
  </si>
  <si>
    <r>
      <rPr>
        <b/>
        <color rgb="FF1155CC"/>
        <u/>
      </rPr>
      <t>Liverpool</t>
    </r>
  </si>
  <si>
    <r>
      <rPr>
        <b/>
        <color rgb="FF1155CC"/>
        <u/>
      </rPr>
      <t>Manchester City</t>
    </r>
  </si>
  <si>
    <t>2017/2018</t>
  </si>
  <si>
    <r>
      <rPr>
        <b/>
        <color rgb="FF1155CC"/>
        <u/>
      </rPr>
      <t>Stoke City</t>
    </r>
  </si>
  <si>
    <r>
      <rPr>
        <b/>
        <color rgb="FF1155CC"/>
        <u/>
      </rPr>
      <t>Swansea City</t>
    </r>
  </si>
  <si>
    <r>
      <rPr>
        <b/>
        <color rgb="FF1155CC"/>
        <u/>
      </rPr>
      <t>West Bromwich Albion</t>
    </r>
  </si>
  <si>
    <r>
      <rPr>
        <b/>
        <color rgb="FF1155CC"/>
        <u/>
      </rPr>
      <t>Southampton</t>
    </r>
  </si>
  <si>
    <r>
      <rPr>
        <b/>
        <color rgb="FF1155CC"/>
        <u/>
      </rPr>
      <t>Huddersfield Town</t>
    </r>
  </si>
  <si>
    <r>
      <rPr>
        <b/>
        <color rgb="FF1155CC"/>
        <u/>
      </rPr>
      <t>West Ham United</t>
    </r>
  </si>
  <si>
    <r>
      <rPr>
        <b/>
        <color rgb="FF1155CC"/>
        <u/>
      </rPr>
      <t>Brighton</t>
    </r>
  </si>
  <si>
    <r>
      <rPr>
        <b/>
        <color rgb="FF1155CC"/>
        <u/>
      </rPr>
      <t>Bournemouth</t>
    </r>
  </si>
  <si>
    <r>
      <rPr>
        <b/>
        <color rgb="FF1155CC"/>
        <u/>
      </rPr>
      <t>Watford</t>
    </r>
  </si>
  <si>
    <r>
      <rPr>
        <b/>
        <color rgb="FF1155CC"/>
        <u/>
      </rPr>
      <t>Crystal Palace</t>
    </r>
  </si>
  <si>
    <r>
      <rPr>
        <b/>
        <color rgb="FF1155CC"/>
        <u/>
      </rPr>
      <t>Tottenham Hotspur</t>
    </r>
  </si>
  <si>
    <r>
      <rPr>
        <b/>
        <color rgb="FF1155CC"/>
        <u/>
      </rPr>
      <t>Everton</t>
    </r>
  </si>
  <si>
    <r>
      <rPr>
        <b/>
        <color rgb="FF1155CC"/>
        <u/>
      </rPr>
      <t>Burnley</t>
    </r>
  </si>
  <si>
    <r>
      <rPr>
        <b/>
        <color rgb="FF1155CC"/>
        <u/>
      </rPr>
      <t>Newcastle United</t>
    </r>
  </si>
  <si>
    <r>
      <rPr>
        <b/>
        <color rgb="FF1155CC"/>
        <u/>
      </rPr>
      <t>Leicester City</t>
    </r>
  </si>
  <si>
    <r>
      <rPr>
        <b/>
        <color rgb="FF1155CC"/>
        <u/>
      </rPr>
      <t>Arsenal</t>
    </r>
  </si>
  <si>
    <r>
      <rPr>
        <b/>
        <color rgb="FF1155CC"/>
        <u/>
      </rPr>
      <t>Liverpool</t>
    </r>
  </si>
  <si>
    <r>
      <rPr>
        <b/>
        <color rgb="FF1155CC"/>
        <u/>
      </rPr>
      <t>Chelsea</t>
    </r>
  </si>
  <si>
    <r>
      <rPr>
        <b/>
        <color rgb="FF1155CC"/>
        <u/>
      </rPr>
      <t>Manchester United</t>
    </r>
  </si>
  <si>
    <r>
      <rPr>
        <b/>
        <color rgb="FF1155CC"/>
        <u/>
      </rPr>
      <t>Manchester City</t>
    </r>
  </si>
  <si>
    <t>2016/2017</t>
  </si>
  <si>
    <r>
      <rPr>
        <b/>
        <color rgb="FF1155CC"/>
        <u/>
      </rPr>
      <t>Middlesbrough</t>
    </r>
  </si>
  <si>
    <r>
      <rPr>
        <b/>
        <color rgb="FF1155CC"/>
        <u/>
      </rPr>
      <t>Hull City</t>
    </r>
  </si>
  <si>
    <r>
      <rPr>
        <b/>
        <color rgb="FF1155CC"/>
        <u/>
      </rPr>
      <t>Sunderland</t>
    </r>
  </si>
  <si>
    <r>
      <rPr>
        <b/>
        <color rgb="FF1155CC"/>
        <u/>
      </rPr>
      <t>Swansea City</t>
    </r>
  </si>
  <si>
    <r>
      <rPr>
        <b/>
        <color rgb="FF1155CC"/>
        <u/>
      </rPr>
      <t>Crystal Palace</t>
    </r>
  </si>
  <si>
    <r>
      <rPr>
        <b/>
        <color rgb="FF1155CC"/>
        <u/>
      </rPr>
      <t>West Ham United</t>
    </r>
  </si>
  <si>
    <r>
      <rPr>
        <b/>
        <color rgb="FF1155CC"/>
        <u/>
      </rPr>
      <t>Burnley</t>
    </r>
  </si>
  <si>
    <r>
      <rPr>
        <b/>
        <color rgb="FF1155CC"/>
        <u/>
      </rPr>
      <t>Watford</t>
    </r>
  </si>
  <si>
    <r>
      <rPr>
        <b/>
        <color rgb="FF1155CC"/>
        <u/>
      </rPr>
      <t>Leicester City</t>
    </r>
  </si>
  <si>
    <r>
      <rPr>
        <b/>
        <color rgb="FF1155CC"/>
        <u/>
      </rPr>
      <t>Bournemouth</t>
    </r>
  </si>
  <si>
    <r>
      <rPr>
        <b/>
        <color rgb="FF1155CC"/>
        <u/>
      </rPr>
      <t>Stoke City</t>
    </r>
  </si>
  <si>
    <r>
      <rPr>
        <b/>
        <color rgb="FF1155CC"/>
        <u/>
      </rPr>
      <t>Southampton</t>
    </r>
  </si>
  <si>
    <r>
      <rPr>
        <b/>
        <color rgb="FF1155CC"/>
        <u/>
      </rPr>
      <t>West Bromwich Albion</t>
    </r>
  </si>
  <si>
    <r>
      <rPr>
        <b/>
        <color rgb="FF1155CC"/>
        <u/>
      </rPr>
      <t>Everton</t>
    </r>
  </si>
  <si>
    <r>
      <rPr>
        <b/>
        <color rgb="FF1155CC"/>
        <u/>
      </rPr>
      <t>Manchester United</t>
    </r>
  </si>
  <si>
    <r>
      <rPr>
        <b/>
        <color rgb="FF1155CC"/>
        <u/>
      </rPr>
      <t>Tottenham Hotspur</t>
    </r>
  </si>
  <si>
    <r>
      <rPr>
        <b/>
        <color rgb="FF1155CC"/>
        <u/>
      </rPr>
      <t>Arsenal</t>
    </r>
  </si>
  <si>
    <r>
      <rPr>
        <b/>
        <color rgb="FF1155CC"/>
        <u/>
      </rPr>
      <t>Chelsea</t>
    </r>
  </si>
  <si>
    <r>
      <rPr>
        <b/>
        <color rgb="FF1155CC"/>
        <u/>
      </rPr>
      <t>Liverpool</t>
    </r>
  </si>
  <si>
    <r>
      <rPr>
        <b/>
        <color rgb="FF1155CC"/>
        <u/>
      </rPr>
      <t>Manchester City</t>
    </r>
  </si>
  <si>
    <t>2015/2016</t>
  </si>
  <si>
    <r>
      <rPr>
        <b/>
        <color rgb="FF1155CC"/>
        <u/>
      </rPr>
      <t>Newcastle United</t>
    </r>
  </si>
  <si>
    <r>
      <rPr>
        <b/>
        <color rgb="FF1155CC"/>
        <u/>
      </rPr>
      <t>Norwich City</t>
    </r>
  </si>
  <si>
    <r>
      <rPr>
        <b/>
        <color rgb="FF1155CC"/>
        <u/>
      </rPr>
      <t>Aston Villa</t>
    </r>
  </si>
  <si>
    <r>
      <rPr>
        <b/>
        <color rgb="FF1155CC"/>
        <u/>
      </rPr>
      <t>Sunderland</t>
    </r>
  </si>
  <si>
    <r>
      <rPr>
        <b/>
        <color rgb="FF1155CC"/>
        <u/>
      </rPr>
      <t>Crystal Palace</t>
    </r>
  </si>
  <si>
    <r>
      <rPr>
        <b/>
        <color rgb="FF1155CC"/>
        <u/>
      </rPr>
      <t>Swansea City</t>
    </r>
  </si>
  <si>
    <r>
      <rPr>
        <b/>
        <color rgb="FF1155CC"/>
        <u/>
      </rPr>
      <t>Watford</t>
    </r>
  </si>
  <si>
    <r>
      <rPr>
        <b/>
        <color rgb="FF1155CC"/>
        <u/>
      </rPr>
      <t>Bournemouth</t>
    </r>
  </si>
  <si>
    <r>
      <rPr>
        <b/>
        <color rgb="FF1155CC"/>
        <u/>
      </rPr>
      <t>West Bromwich Albion</t>
    </r>
  </si>
  <si>
    <r>
      <rPr>
        <b/>
        <color rgb="FF1155CC"/>
        <u/>
      </rPr>
      <t>Stoke City</t>
    </r>
  </si>
  <si>
    <r>
      <rPr>
        <b/>
        <color rgb="FF1155CC"/>
        <u/>
      </rPr>
      <t>Everton</t>
    </r>
  </si>
  <si>
    <r>
      <rPr>
        <b/>
        <color rgb="FF1155CC"/>
        <u/>
      </rPr>
      <t>Liverpool</t>
    </r>
  </si>
  <si>
    <r>
      <rPr>
        <b/>
        <color rgb="FF1155CC"/>
        <u/>
      </rPr>
      <t>Chelsea</t>
    </r>
  </si>
  <si>
    <r>
      <rPr>
        <b/>
        <color rgb="FF1155CC"/>
        <u/>
      </rPr>
      <t>Southampton</t>
    </r>
  </si>
  <si>
    <r>
      <rPr>
        <b/>
        <color rgb="FF1155CC"/>
        <u/>
      </rPr>
      <t>West Ham United</t>
    </r>
  </si>
  <si>
    <r>
      <rPr>
        <b/>
        <color rgb="FF1155CC"/>
        <u/>
      </rPr>
      <t>Leicester City</t>
    </r>
  </si>
  <si>
    <r>
      <rPr>
        <b/>
        <color rgb="FF1155CC"/>
        <u/>
      </rPr>
      <t>Tottenham Hotspur</t>
    </r>
  </si>
  <si>
    <r>
      <rPr>
        <b/>
        <color rgb="FF1155CC"/>
        <u/>
      </rPr>
      <t>Manchester United</t>
    </r>
  </si>
  <si>
    <r>
      <rPr>
        <b/>
        <color rgb="FF1155CC"/>
        <u/>
      </rPr>
      <t>Arsenal</t>
    </r>
  </si>
  <si>
    <r>
      <rPr>
        <b/>
        <color rgb="FF1155CC"/>
        <u/>
      </rPr>
      <t>Manchester City</t>
    </r>
  </si>
  <si>
    <t>Serie A</t>
  </si>
  <si>
    <r>
      <rPr>
        <color rgb="FF1155CC"/>
        <u/>
      </rPr>
      <t>Inter Milan</t>
    </r>
  </si>
  <si>
    <r>
      <rPr>
        <color rgb="FF1155CC"/>
        <u/>
      </rPr>
      <t>SSC Napoli</t>
    </r>
  </si>
  <si>
    <r>
      <rPr>
        <color rgb="FF1155CC"/>
        <u/>
      </rPr>
      <t>AC Milan</t>
    </r>
  </si>
  <si>
    <r>
      <rPr>
        <color rgb="FF1155CC"/>
        <u/>
      </rPr>
      <t>AS Roma</t>
    </r>
  </si>
  <si>
    <r>
      <rPr>
        <color rgb="FF1155CC"/>
        <u/>
      </rPr>
      <t>Juventus</t>
    </r>
  </si>
  <si>
    <r>
      <rPr>
        <color rgb="FF1155CC"/>
        <u/>
      </rPr>
      <t>Atalanta Bergamo</t>
    </r>
  </si>
  <si>
    <r>
      <rPr>
        <color rgb="FF1155CC"/>
        <u/>
      </rPr>
      <t>Como 1907</t>
    </r>
  </si>
  <si>
    <r>
      <rPr>
        <color rgb="FF1155CC"/>
        <u/>
      </rPr>
      <t>FC Bologna</t>
    </r>
  </si>
  <si>
    <r>
      <rPr>
        <color rgb="FF1155CC"/>
        <u/>
      </rPr>
      <t>Lazio Rome</t>
    </r>
  </si>
  <si>
    <r>
      <rPr>
        <color rgb="FF1155CC"/>
        <u/>
      </rPr>
      <t>Fiorentina</t>
    </r>
  </si>
  <si>
    <r>
      <rPr>
        <color rgb="FF1155CC"/>
        <u/>
      </rPr>
      <t>Udinese</t>
    </r>
  </si>
  <si>
    <r>
      <rPr>
        <color rgb="FF1155CC"/>
        <u/>
      </rPr>
      <t>FC Torino</t>
    </r>
  </si>
  <si>
    <r>
      <rPr>
        <color rgb="FF1155CC"/>
        <u/>
      </rPr>
      <t>US Cremonese</t>
    </r>
  </si>
  <si>
    <r>
      <rPr>
        <color rgb="FF1155CC"/>
        <u/>
      </rPr>
      <t>FC Genoa</t>
    </r>
  </si>
  <si>
    <r>
      <rPr>
        <color rgb="FF1155CC"/>
        <u/>
      </rPr>
      <t>Parma Calcio</t>
    </r>
  </si>
  <si>
    <r>
      <rPr>
        <color rgb="FF1155CC"/>
        <u/>
      </rPr>
      <t>US Sassuolo</t>
    </r>
  </si>
  <si>
    <r>
      <rPr>
        <color rgb="FF1155CC"/>
        <u/>
      </rPr>
      <t>Cagliari Calcio</t>
    </r>
  </si>
  <si>
    <r>
      <rPr>
        <color rgb="FF1155CC"/>
        <u/>
      </rPr>
      <t>Hellas Verona</t>
    </r>
  </si>
  <si>
    <r>
      <rPr>
        <color rgb="FF1155CC"/>
        <u/>
      </rPr>
      <t>Pisa Sporting Club</t>
    </r>
  </si>
  <si>
    <r>
      <rPr>
        <color rgb="FF1155CC"/>
        <u/>
      </rPr>
      <t>US Lecce</t>
    </r>
  </si>
  <si>
    <r>
      <rPr>
        <color rgb="FF1155CC"/>
        <u/>
      </rPr>
      <t>SSC Napoli</t>
    </r>
  </si>
  <si>
    <r>
      <rPr>
        <color rgb="FF1155CC"/>
        <u/>
      </rPr>
      <t>Inter Milan</t>
    </r>
  </si>
  <si>
    <r>
      <rPr>
        <color rgb="FF1155CC"/>
        <u/>
      </rPr>
      <t>Atalanta Bergamo</t>
    </r>
  </si>
  <si>
    <r>
      <rPr>
        <color rgb="FF1155CC"/>
        <u/>
      </rPr>
      <t>Juventus</t>
    </r>
  </si>
  <si>
    <r>
      <rPr>
        <color rgb="FF1155CC"/>
        <u/>
      </rPr>
      <t>FC Bologna</t>
    </r>
  </si>
  <si>
    <r>
      <rPr>
        <color rgb="FF1155CC"/>
        <u/>
      </rPr>
      <t>Lazio Rome</t>
    </r>
  </si>
  <si>
    <r>
      <rPr>
        <color rgb="FF1155CC"/>
        <u/>
      </rPr>
      <t>AS Roma</t>
    </r>
  </si>
  <si>
    <r>
      <rPr>
        <color rgb="FF1155CC"/>
        <u/>
      </rPr>
      <t>AC Milan</t>
    </r>
  </si>
  <si>
    <r>
      <rPr>
        <color rgb="FF1155CC"/>
        <u/>
      </rPr>
      <t>Fiorentina</t>
    </r>
  </si>
  <si>
    <r>
      <rPr>
        <color rgb="FF1155CC"/>
        <u/>
      </rPr>
      <t>FC Torino</t>
    </r>
  </si>
  <si>
    <r>
      <rPr>
        <color rgb="FF1155CC"/>
        <u/>
      </rPr>
      <t>Udinese</t>
    </r>
  </si>
  <si>
    <r>
      <rPr>
        <color rgb="FF1155CC"/>
        <u/>
      </rPr>
      <t>Como 1907</t>
    </r>
  </si>
  <si>
    <r>
      <rPr>
        <color rgb="FF1155CC"/>
        <u/>
      </rPr>
      <t>FC Empoli</t>
    </r>
  </si>
  <si>
    <r>
      <rPr>
        <color rgb="FF1155CC"/>
        <u/>
      </rPr>
      <t>FC Genoa</t>
    </r>
  </si>
  <si>
    <r>
      <rPr>
        <color rgb="FF1155CC"/>
        <u/>
      </rPr>
      <t>Parma Calcio</t>
    </r>
  </si>
  <si>
    <r>
      <rPr>
        <color rgb="FF1155CC"/>
        <u/>
      </rPr>
      <t>AC Monza</t>
    </r>
  </si>
  <si>
    <r>
      <rPr>
        <color rgb="FF1155CC"/>
        <u/>
      </rPr>
      <t>Cagliari Calcio</t>
    </r>
  </si>
  <si>
    <r>
      <rPr>
        <color rgb="FF1155CC"/>
        <u/>
      </rPr>
      <t>Hellas Verona</t>
    </r>
  </si>
  <si>
    <r>
      <rPr>
        <color rgb="FF1155CC"/>
        <u/>
      </rPr>
      <t>US Lecce</t>
    </r>
  </si>
  <si>
    <r>
      <rPr>
        <color rgb="FF1155CC"/>
        <u/>
      </rPr>
      <t>Venezia</t>
    </r>
  </si>
  <si>
    <r>
      <rPr>
        <color rgb="FF1155CC"/>
        <u/>
      </rPr>
      <t>Inter Milan</t>
    </r>
  </si>
  <si>
    <r>
      <rPr>
        <color rgb="FF1155CC"/>
        <u/>
      </rPr>
      <t>Juventus</t>
    </r>
  </si>
  <si>
    <r>
      <rPr>
        <color rgb="FF1155CC"/>
        <u/>
      </rPr>
      <t>AC Milan</t>
    </r>
  </si>
  <si>
    <r>
      <rPr>
        <color rgb="FF1155CC"/>
        <u/>
      </rPr>
      <t>AS Roma</t>
    </r>
  </si>
  <si>
    <r>
      <rPr>
        <color rgb="FF1155CC"/>
        <u/>
      </rPr>
      <t>Fiorentina</t>
    </r>
  </si>
  <si>
    <r>
      <rPr>
        <color rgb="FF1155CC"/>
        <u/>
      </rPr>
      <t>Atalanta Bergamo</t>
    </r>
  </si>
  <si>
    <r>
      <rPr>
        <color rgb="FF1155CC"/>
        <u/>
      </rPr>
      <t>Lazio Rome</t>
    </r>
  </si>
  <si>
    <r>
      <rPr>
        <color rgb="FF1155CC"/>
        <u/>
      </rPr>
      <t>SSC Napoli</t>
    </r>
  </si>
  <si>
    <r>
      <rPr>
        <color rgb="FF1155CC"/>
        <u/>
      </rPr>
      <t>FC Bologna</t>
    </r>
  </si>
  <si>
    <r>
      <rPr>
        <color rgb="FF1155CC"/>
        <u/>
      </rPr>
      <t>FC Torino</t>
    </r>
  </si>
  <si>
    <r>
      <rPr>
        <color rgb="FF1155CC"/>
        <u/>
      </rPr>
      <t>AC Monza</t>
    </r>
  </si>
  <si>
    <r>
      <rPr>
        <color rgb="FF1155CC"/>
        <u/>
      </rPr>
      <t>US Sassuolo</t>
    </r>
  </si>
  <si>
    <r>
      <rPr>
        <color rgb="FF1155CC"/>
        <u/>
      </rPr>
      <t>US Lecce</t>
    </r>
  </si>
  <si>
    <r>
      <rPr>
        <color rgb="FF1155CC"/>
        <u/>
      </rPr>
      <t>FC Genoa</t>
    </r>
  </si>
  <si>
    <r>
      <rPr>
        <color rgb="FF1155CC"/>
        <u/>
      </rPr>
      <t>Udinese</t>
    </r>
  </si>
  <si>
    <r>
      <rPr>
        <color rgb="FF1155CC"/>
        <u/>
      </rPr>
      <t>Frosinone Calcio</t>
    </r>
  </si>
  <si>
    <r>
      <rPr>
        <color rgb="FF1155CC"/>
        <u/>
      </rPr>
      <t>Cagliari Calcio</t>
    </r>
  </si>
  <si>
    <r>
      <rPr>
        <color rgb="FF1155CC"/>
        <u/>
      </rPr>
      <t>Salernitana</t>
    </r>
  </si>
  <si>
    <r>
      <rPr>
        <color rgb="FF1155CC"/>
        <u/>
      </rPr>
      <t>Hellas Verona</t>
    </r>
  </si>
  <si>
    <r>
      <rPr>
        <color rgb="FF1155CC"/>
        <u/>
      </rPr>
      <t>FC Empoli</t>
    </r>
  </si>
  <si>
    <r>
      <rPr>
        <color rgb="FF1155CC"/>
        <u/>
      </rPr>
      <t>Napoli</t>
    </r>
  </si>
  <si>
    <r>
      <rPr>
        <color rgb="FF1155CC"/>
        <u/>
      </rPr>
      <t>AC Milan</t>
    </r>
  </si>
  <si>
    <r>
      <rPr>
        <color rgb="FF1155CC"/>
        <u/>
      </rPr>
      <t>Juventus</t>
    </r>
  </si>
  <si>
    <r>
      <rPr>
        <color rgb="FF1155CC"/>
        <u/>
      </rPr>
      <t>Lazio Rome</t>
    </r>
  </si>
  <si>
    <r>
      <rPr>
        <color rgb="FF1155CC"/>
        <u/>
      </rPr>
      <t>AS Roma</t>
    </r>
  </si>
  <si>
    <r>
      <rPr>
        <color rgb="FF1155CC"/>
        <u/>
      </rPr>
      <t>Inter Milan</t>
    </r>
  </si>
  <si>
    <r>
      <rPr>
        <color rgb="FF1155CC"/>
        <u/>
      </rPr>
      <t>Atalanta Bergamo</t>
    </r>
  </si>
  <si>
    <r>
      <rPr>
        <color rgb="FF1155CC"/>
        <u/>
      </rPr>
      <t>Fiorentina</t>
    </r>
  </si>
  <si>
    <r>
      <rPr>
        <color rgb="FF1155CC"/>
        <u/>
      </rPr>
      <t>FC Torino</t>
    </r>
  </si>
  <si>
    <r>
      <rPr>
        <color rgb="FF1155CC"/>
        <u/>
      </rPr>
      <t>Udinese</t>
    </r>
  </si>
  <si>
    <r>
      <rPr>
        <color rgb="FF1155CC"/>
        <u/>
      </rPr>
      <t>AC Monza</t>
    </r>
  </si>
  <si>
    <r>
      <rPr>
        <color rgb="FF1155CC"/>
        <u/>
      </rPr>
      <t>US Sassuolo</t>
    </r>
  </si>
  <si>
    <r>
      <rPr>
        <color rgb="FF1155CC"/>
        <u/>
      </rPr>
      <t>FC Bologna</t>
    </r>
  </si>
  <si>
    <r>
      <rPr>
        <color rgb="FF1155CC"/>
        <u/>
      </rPr>
      <t>Salernitana</t>
    </r>
  </si>
  <si>
    <r>
      <rPr>
        <color rgb="FF1155CC"/>
        <u/>
      </rPr>
      <t>Hellas Verona</t>
    </r>
  </si>
  <si>
    <r>
      <rPr>
        <color rgb="FF1155CC"/>
        <u/>
      </rPr>
      <t>Spezia</t>
    </r>
  </si>
  <si>
    <r>
      <rPr>
        <color rgb="FF1155CC"/>
        <u/>
      </rPr>
      <t>FC Empoli</t>
    </r>
  </si>
  <si>
    <r>
      <rPr>
        <color rgb="FF1155CC"/>
        <u/>
      </rPr>
      <t>Sampdoria Genova</t>
    </r>
  </si>
  <si>
    <r>
      <rPr>
        <color rgb="FF1155CC"/>
        <u/>
      </rPr>
      <t>US Cremonese</t>
    </r>
  </si>
  <si>
    <r>
      <rPr>
        <color rgb="FF1155CC"/>
        <u/>
      </rPr>
      <t>US Lecce</t>
    </r>
  </si>
  <si>
    <r>
      <rPr>
        <color rgb="FF1155CC"/>
        <u/>
      </rPr>
      <t>AC Milan</t>
    </r>
  </si>
  <si>
    <r>
      <rPr>
        <color rgb="FF1155CC"/>
        <u/>
      </rPr>
      <t>Inter Milan</t>
    </r>
  </si>
  <si>
    <r>
      <rPr>
        <color rgb="FF1155CC"/>
        <u/>
      </rPr>
      <t>Napoli</t>
    </r>
  </si>
  <si>
    <r>
      <rPr>
        <color rgb="FF1155CC"/>
        <u/>
      </rPr>
      <t>Juventus</t>
    </r>
  </si>
  <si>
    <r>
      <rPr>
        <color rgb="FF1155CC"/>
        <u/>
      </rPr>
      <t>Atalanta Bergamo</t>
    </r>
  </si>
  <si>
    <r>
      <rPr>
        <color rgb="FF1155CC"/>
        <u/>
      </rPr>
      <t>AS Roma</t>
    </r>
  </si>
  <si>
    <r>
      <rPr>
        <color rgb="FF1155CC"/>
        <u/>
      </rPr>
      <t>Lazio Rome</t>
    </r>
  </si>
  <si>
    <r>
      <rPr>
        <color rgb="FF1155CC"/>
        <u/>
      </rPr>
      <t>Fiorentina</t>
    </r>
  </si>
  <si>
    <r>
      <rPr>
        <color rgb="FF1155CC"/>
        <u/>
      </rPr>
      <t>Hellas Verona</t>
    </r>
  </si>
  <si>
    <r>
      <rPr>
        <color rgb="FF1155CC"/>
        <u/>
      </rPr>
      <t>US Sassuolo</t>
    </r>
  </si>
  <si>
    <r>
      <rPr>
        <color rgb="FF1155CC"/>
        <u/>
      </rPr>
      <t>FC Torino</t>
    </r>
  </si>
  <si>
    <r>
      <rPr>
        <color rgb="FF1155CC"/>
        <u/>
      </rPr>
      <t>FC Bologna</t>
    </r>
  </si>
  <si>
    <r>
      <rPr>
        <color rgb="FF1155CC"/>
        <u/>
      </rPr>
      <t>FC Empoli</t>
    </r>
  </si>
  <si>
    <r>
      <rPr>
        <color rgb="FF1155CC"/>
        <u/>
      </rPr>
      <t>Sampdoria Genova</t>
    </r>
  </si>
  <si>
    <r>
      <rPr>
        <color rgb="FF1155CC"/>
        <u/>
      </rPr>
      <t>Udinese</t>
    </r>
  </si>
  <si>
    <r>
      <rPr>
        <color rgb="FF1155CC"/>
        <u/>
      </rPr>
      <t>Cagliari</t>
    </r>
  </si>
  <si>
    <r>
      <rPr>
        <color rgb="FF1155CC"/>
        <u/>
      </rPr>
      <t>FC Genoa</t>
    </r>
  </si>
  <si>
    <r>
      <rPr>
        <color rgb="FF1155CC"/>
        <u/>
      </rPr>
      <t>Spezia</t>
    </r>
  </si>
  <si>
    <r>
      <rPr>
        <color rgb="FF1155CC"/>
        <u/>
      </rPr>
      <t>Venezia</t>
    </r>
  </si>
  <si>
    <r>
      <rPr>
        <color rgb="FF1155CC"/>
        <u/>
      </rPr>
      <t>Salernitana</t>
    </r>
  </si>
  <si>
    <r>
      <rPr>
        <color rgb="FF1155CC"/>
        <u/>
      </rPr>
      <t>Inter Milan</t>
    </r>
  </si>
  <si>
    <r>
      <rPr>
        <color rgb="FF1155CC"/>
        <u/>
      </rPr>
      <t>Juventus</t>
    </r>
  </si>
  <si>
    <r>
      <rPr>
        <color rgb="FF1155CC"/>
        <u/>
      </rPr>
      <t>AC Milan</t>
    </r>
  </si>
  <si>
    <r>
      <rPr>
        <color rgb="FF1155CC"/>
        <u/>
      </rPr>
      <t>Atalanta Bergamo</t>
    </r>
  </si>
  <si>
    <r>
      <rPr>
        <color rgb="FF1155CC"/>
        <u/>
      </rPr>
      <t>Napoli</t>
    </r>
  </si>
  <si>
    <r>
      <rPr>
        <color rgb="FF1155CC"/>
        <u/>
      </rPr>
      <t>AS Roma</t>
    </r>
  </si>
  <si>
    <r>
      <rPr>
        <color rgb="FF1155CC"/>
        <u/>
      </rPr>
      <t>Lazio Rome</t>
    </r>
  </si>
  <si>
    <r>
      <rPr>
        <color rgb="FF1155CC"/>
        <u/>
      </rPr>
      <t>US Sassuolo</t>
    </r>
  </si>
  <si>
    <r>
      <rPr>
        <color rgb="FF1155CC"/>
        <u/>
      </rPr>
      <t>Hellas Verona</t>
    </r>
  </si>
  <si>
    <r>
      <rPr>
        <color rgb="FF1155CC"/>
        <u/>
      </rPr>
      <t>FC Bologna</t>
    </r>
  </si>
  <si>
    <r>
      <rPr>
        <color rgb="FF1155CC"/>
        <u/>
      </rPr>
      <t>Udinese</t>
    </r>
  </si>
  <si>
    <r>
      <rPr>
        <color rgb="FF1155CC"/>
        <u/>
      </rPr>
      <t>AC Fiorentina</t>
    </r>
  </si>
  <si>
    <r>
      <rPr>
        <color rgb="FF1155CC"/>
        <u/>
      </rPr>
      <t>Sampdoria Genova</t>
    </r>
  </si>
  <si>
    <r>
      <rPr>
        <color rgb="FF1155CC"/>
        <u/>
      </rPr>
      <t>FC Torino</t>
    </r>
  </si>
  <si>
    <r>
      <rPr>
        <color rgb="FF1155CC"/>
        <u/>
      </rPr>
      <t>FC Genoa</t>
    </r>
  </si>
  <si>
    <r>
      <rPr>
        <color rgb="FF1155CC"/>
        <u/>
      </rPr>
      <t>Spezia</t>
    </r>
  </si>
  <si>
    <r>
      <rPr>
        <color rgb="FF1155CC"/>
        <u/>
      </rPr>
      <t>Cagliari</t>
    </r>
  </si>
  <si>
    <r>
      <rPr>
        <color rgb="FF1155CC"/>
        <u/>
      </rPr>
      <t>Benevento</t>
    </r>
  </si>
  <si>
    <r>
      <rPr>
        <color rgb="FF1155CC"/>
        <u/>
      </rPr>
      <t>AC Parma</t>
    </r>
  </si>
  <si>
    <r>
      <rPr>
        <color rgb="FF1155CC"/>
        <u/>
      </rPr>
      <t>Crotone</t>
    </r>
  </si>
  <si>
    <t>La Liga</t>
  </si>
  <si>
    <r>
      <rPr>
        <color rgb="FF1155CC"/>
        <u/>
      </rPr>
      <t>Real Madrid</t>
    </r>
  </si>
  <si>
    <r>
      <rPr>
        <color rgb="FF1155CC"/>
        <u/>
      </rPr>
      <t>FC Barcelona</t>
    </r>
  </si>
  <si>
    <r>
      <rPr>
        <color rgb="FF1155CC"/>
        <u/>
      </rPr>
      <t>Atletico Madrid</t>
    </r>
  </si>
  <si>
    <r>
      <rPr>
        <color rgb="FF1155CC"/>
        <u/>
      </rPr>
      <t>Villarreal CF</t>
    </r>
  </si>
  <si>
    <r>
      <rPr>
        <color rgb="FF1155CC"/>
        <u/>
      </rPr>
      <t>Real Betis</t>
    </r>
  </si>
  <si>
    <r>
      <rPr>
        <color rgb="FF1155CC"/>
        <u/>
      </rPr>
      <t>Athletic Bilbao</t>
    </r>
  </si>
  <si>
    <r>
      <rPr>
        <color rgb="FF1155CC"/>
        <u/>
      </rPr>
      <t>Getafe CF</t>
    </r>
  </si>
  <si>
    <r>
      <rPr>
        <color rgb="FF1155CC"/>
        <u/>
      </rPr>
      <t>Sevilla</t>
    </r>
  </si>
  <si>
    <r>
      <rPr>
        <color rgb="FF1155CC"/>
        <u/>
      </rPr>
      <t>Real Sociedad</t>
    </r>
  </si>
  <si>
    <r>
      <rPr>
        <color rgb="FF1155CC"/>
        <u/>
      </rPr>
      <t>CF Valencia</t>
    </r>
  </si>
  <si>
    <r>
      <rPr>
        <color rgb="FF1155CC"/>
        <u/>
      </rPr>
      <t>Celta de Vigo</t>
    </r>
  </si>
  <si>
    <r>
      <rPr>
        <color rgb="FF1155CC"/>
        <u/>
      </rPr>
      <t>Espanyol</t>
    </r>
  </si>
  <si>
    <r>
      <rPr>
        <color rgb="FF1155CC"/>
        <u/>
      </rPr>
      <t>Girona FC</t>
    </r>
  </si>
  <si>
    <r>
      <rPr>
        <color rgb="FF1155CC"/>
        <u/>
      </rPr>
      <t>Deportivo Alaves</t>
    </r>
  </si>
  <si>
    <r>
      <rPr>
        <color rgb="FF1155CC"/>
        <u/>
      </rPr>
      <t>RCD Mallorca</t>
    </r>
  </si>
  <si>
    <r>
      <rPr>
        <color rgb="FF1155CC"/>
        <u/>
      </rPr>
      <t>Osasuna</t>
    </r>
  </si>
  <si>
    <r>
      <rPr>
        <color rgb="FF1155CC"/>
        <u/>
      </rPr>
      <t>Rayo Vallecano</t>
    </r>
  </si>
  <si>
    <r>
      <rPr>
        <color rgb="FF1155CC"/>
        <u/>
      </rPr>
      <t>Elche</t>
    </r>
  </si>
  <si>
    <r>
      <rPr>
        <color rgb="FF1155CC"/>
        <u/>
      </rPr>
      <t>Real Oviedo</t>
    </r>
  </si>
  <si>
    <r>
      <rPr>
        <color rgb="FF1155CC"/>
        <u/>
      </rPr>
      <t>UD Levante</t>
    </r>
  </si>
  <si>
    <r>
      <rPr>
        <color rgb="FF1155CC"/>
        <u/>
      </rPr>
      <t>FC Barcelona</t>
    </r>
  </si>
  <si>
    <r>
      <rPr>
        <color rgb="FF1155CC"/>
        <u/>
      </rPr>
      <t>Real Madrid</t>
    </r>
  </si>
  <si>
    <r>
      <rPr>
        <color rgb="FF1155CC"/>
        <u/>
      </rPr>
      <t>Atletico Madrid</t>
    </r>
  </si>
  <si>
    <r>
      <rPr>
        <color rgb="FF1155CC"/>
        <u/>
      </rPr>
      <t>Athletic Bilbao</t>
    </r>
  </si>
  <si>
    <r>
      <rPr>
        <color rgb="FF1155CC"/>
        <u/>
      </rPr>
      <t>Villarreal CF</t>
    </r>
  </si>
  <si>
    <r>
      <rPr>
        <color rgb="FF1155CC"/>
        <u/>
      </rPr>
      <t>Real Sociedad</t>
    </r>
  </si>
  <si>
    <r>
      <rPr>
        <color rgb="FF1155CC"/>
        <u/>
      </rPr>
      <t>Real Betis</t>
    </r>
  </si>
  <si>
    <r>
      <rPr>
        <color rgb="FF1155CC"/>
        <u/>
      </rPr>
      <t>Girona FC</t>
    </r>
  </si>
  <si>
    <r>
      <rPr>
        <color rgb="FF1155CC"/>
        <u/>
      </rPr>
      <t>Sevilla</t>
    </r>
  </si>
  <si>
    <r>
      <rPr>
        <color rgb="FF1155CC"/>
        <u/>
      </rPr>
      <t>Celta de Vigo</t>
    </r>
  </si>
  <si>
    <r>
      <rPr>
        <color rgb="FF1155CC"/>
        <u/>
      </rPr>
      <t>Osasuna</t>
    </r>
  </si>
  <si>
    <r>
      <rPr>
        <color rgb="FF1155CC"/>
        <u/>
      </rPr>
      <t>Rayo Vallecano</t>
    </r>
  </si>
  <si>
    <r>
      <rPr>
        <color rgb="FF1155CC"/>
        <u/>
      </rPr>
      <t>RCD Mallorca</t>
    </r>
  </si>
  <si>
    <r>
      <rPr>
        <color rgb="FF1155CC"/>
        <u/>
      </rPr>
      <t>Getafe CF</t>
    </r>
  </si>
  <si>
    <r>
      <rPr>
        <color rgb="FF1155CC"/>
        <u/>
      </rPr>
      <t>CF Valencia</t>
    </r>
  </si>
  <si>
    <r>
      <rPr>
        <color rgb="FF1155CC"/>
        <u/>
      </rPr>
      <t>Deportivo Alaves</t>
    </r>
  </si>
  <si>
    <r>
      <rPr>
        <color rgb="FF1155CC"/>
        <u/>
      </rPr>
      <t>Las Palmas</t>
    </r>
  </si>
  <si>
    <r>
      <rPr>
        <color rgb="FF1155CC"/>
        <u/>
      </rPr>
      <t>Espanyol</t>
    </r>
  </si>
  <si>
    <r>
      <rPr>
        <color rgb="FF1155CC"/>
        <u/>
      </rPr>
      <t>Leganes</t>
    </r>
  </si>
  <si>
    <r>
      <rPr>
        <color rgb="FF1155CC"/>
        <u/>
      </rPr>
      <t>Real Valladoilid</t>
    </r>
  </si>
  <si>
    <r>
      <rPr>
        <color rgb="FF1155CC"/>
        <u/>
      </rPr>
      <t>Real Madrid</t>
    </r>
  </si>
  <si>
    <r>
      <rPr>
        <color rgb="FF1155CC"/>
        <u/>
      </rPr>
      <t>FC Barcelona</t>
    </r>
  </si>
  <si>
    <r>
      <rPr>
        <color rgb="FF1155CC"/>
        <u/>
      </rPr>
      <t>Girona FC</t>
    </r>
  </si>
  <si>
    <r>
      <rPr>
        <color rgb="FF1155CC"/>
        <u/>
      </rPr>
      <t>Atletico Madrid</t>
    </r>
  </si>
  <si>
    <r>
      <rPr>
        <color rgb="FF1155CC"/>
        <u/>
      </rPr>
      <t>Athletic Bilbao</t>
    </r>
  </si>
  <si>
    <r>
      <rPr>
        <color rgb="FF1155CC"/>
        <u/>
      </rPr>
      <t>Real Sociedad</t>
    </r>
  </si>
  <si>
    <r>
      <rPr>
        <color rgb="FF1155CC"/>
        <u/>
      </rPr>
      <t>Real Betis</t>
    </r>
  </si>
  <si>
    <r>
      <rPr>
        <color rgb="FF1155CC"/>
        <u/>
      </rPr>
      <t>CF Valencia</t>
    </r>
  </si>
  <si>
    <r>
      <rPr>
        <color rgb="FF1155CC"/>
        <u/>
      </rPr>
      <t>Sevilla</t>
    </r>
  </si>
  <si>
    <r>
      <rPr>
        <color rgb="FF1155CC"/>
        <u/>
      </rPr>
      <t>Villarreal CF</t>
    </r>
  </si>
  <si>
    <r>
      <rPr>
        <color rgb="FF1155CC"/>
        <u/>
      </rPr>
      <t>Celta de Vigo</t>
    </r>
  </si>
  <si>
    <r>
      <rPr>
        <color rgb="FF1155CC"/>
        <u/>
      </rPr>
      <t>Osasuna</t>
    </r>
  </si>
  <si>
    <r>
      <rPr>
        <color rgb="FF1155CC"/>
        <u/>
      </rPr>
      <t>Rayo Vallecano</t>
    </r>
  </si>
  <si>
    <r>
      <rPr>
        <color rgb="FF1155CC"/>
        <u/>
      </rPr>
      <t>Getafe CF</t>
    </r>
  </si>
  <si>
    <r>
      <rPr>
        <color rgb="FF1155CC"/>
        <u/>
      </rPr>
      <t>RCD Mallorca</t>
    </r>
  </si>
  <si>
    <r>
      <rPr>
        <color rgb="FF1155CC"/>
        <u/>
      </rPr>
      <t>Cadiz CF</t>
    </r>
  </si>
  <si>
    <r>
      <rPr>
        <color rgb="FF1155CC"/>
        <u/>
      </rPr>
      <t>Deportivo Alaves</t>
    </r>
  </si>
  <si>
    <r>
      <rPr>
        <color rgb="FF1155CC"/>
        <u/>
      </rPr>
      <t>Granada CF</t>
    </r>
  </si>
  <si>
    <r>
      <rPr>
        <color rgb="FF1155CC"/>
        <u/>
      </rPr>
      <t>Almeria</t>
    </r>
  </si>
  <si>
    <r>
      <rPr>
        <color rgb="FF1155CC"/>
        <u/>
      </rPr>
      <t>Las Palmas</t>
    </r>
  </si>
  <si>
    <r>
      <rPr>
        <color rgb="FF1155CC"/>
        <u/>
      </rPr>
      <t>FC Barcelona</t>
    </r>
  </si>
  <si>
    <r>
      <rPr>
        <color rgb="FF1155CC"/>
        <u/>
      </rPr>
      <t>Real Madrid</t>
    </r>
  </si>
  <si>
    <r>
      <rPr>
        <color rgb="FF1155CC"/>
        <u/>
      </rPr>
      <t>Atletico Madrid</t>
    </r>
  </si>
  <si>
    <r>
      <rPr>
        <color rgb="FF1155CC"/>
        <u/>
      </rPr>
      <t>Real Sociedad</t>
    </r>
  </si>
  <si>
    <r>
      <rPr>
        <color rgb="FF1155CC"/>
        <u/>
      </rPr>
      <t>Villarreal</t>
    </r>
  </si>
  <si>
    <r>
      <rPr>
        <color rgb="FF1155CC"/>
        <u/>
      </rPr>
      <t>Real Betis</t>
    </r>
  </si>
  <si>
    <r>
      <rPr>
        <color rgb="FF1155CC"/>
        <u/>
      </rPr>
      <t>Athletic Bilbao</t>
    </r>
  </si>
  <si>
    <r>
      <rPr>
        <color rgb="FF1155CC"/>
        <u/>
      </rPr>
      <t>Osasuna</t>
    </r>
  </si>
  <si>
    <r>
      <rPr>
        <color rgb="FF1155CC"/>
        <u/>
      </rPr>
      <t>Sevilla</t>
    </r>
  </si>
  <si>
    <r>
      <rPr>
        <color rgb="FF1155CC"/>
        <u/>
      </rPr>
      <t>Celta de Vigo</t>
    </r>
  </si>
  <si>
    <r>
      <rPr>
        <color rgb="FF1155CC"/>
        <u/>
      </rPr>
      <t>CF Valencia</t>
    </r>
  </si>
  <si>
    <r>
      <rPr>
        <color rgb="FF1155CC"/>
        <u/>
      </rPr>
      <t>Rayo Vallecano</t>
    </r>
  </si>
  <si>
    <r>
      <rPr>
        <color rgb="FF1155CC"/>
        <u/>
      </rPr>
      <t>Espanyol</t>
    </r>
  </si>
  <si>
    <r>
      <rPr>
        <color rgb="FF1155CC"/>
        <u/>
      </rPr>
      <t>Getafe</t>
    </r>
  </si>
  <si>
    <r>
      <rPr>
        <color rgb="FF1155CC"/>
        <u/>
      </rPr>
      <t>Valladolid</t>
    </r>
  </si>
  <si>
    <r>
      <rPr>
        <color rgb="FF1155CC"/>
        <u/>
      </rPr>
      <t>RCD Mallorca</t>
    </r>
  </si>
  <si>
    <r>
      <rPr>
        <color rgb="FF1155CC"/>
        <u/>
      </rPr>
      <t>Girona</t>
    </r>
  </si>
  <si>
    <r>
      <rPr>
        <color rgb="FF1155CC"/>
        <u/>
      </rPr>
      <t>Almeria</t>
    </r>
  </si>
  <si>
    <r>
      <rPr>
        <color rgb="FF1155CC"/>
        <u/>
      </rPr>
      <t>Elche</t>
    </r>
  </si>
  <si>
    <r>
      <rPr>
        <color rgb="FF1155CC"/>
        <u/>
      </rPr>
      <t>Cadiz CF</t>
    </r>
  </si>
  <si>
    <r>
      <rPr>
        <color rgb="FF1155CC"/>
        <u/>
      </rPr>
      <t>Real Madrid</t>
    </r>
  </si>
  <si>
    <r>
      <rPr>
        <color rgb="FF1155CC"/>
        <u/>
      </rPr>
      <t>FC Barcelona</t>
    </r>
  </si>
  <si>
    <r>
      <rPr>
        <color rgb="FF1155CC"/>
        <u/>
      </rPr>
      <t>Atletico Madrid</t>
    </r>
  </si>
  <si>
    <r>
      <rPr>
        <color rgb="FF1155CC"/>
        <u/>
      </rPr>
      <t>Sevilla</t>
    </r>
  </si>
  <si>
    <r>
      <rPr>
        <color rgb="FF1155CC"/>
        <u/>
      </rPr>
      <t>Real Betis</t>
    </r>
  </si>
  <si>
    <r>
      <rPr>
        <color rgb="FF1155CC"/>
        <u/>
      </rPr>
      <t>Real Sociedad</t>
    </r>
  </si>
  <si>
    <r>
      <rPr>
        <color rgb="FF1155CC"/>
        <u/>
      </rPr>
      <t>Villarreal</t>
    </r>
  </si>
  <si>
    <r>
      <rPr>
        <color rgb="FF1155CC"/>
        <u/>
      </rPr>
      <t>Rayo Vallecano</t>
    </r>
  </si>
  <si>
    <r>
      <rPr>
        <color rgb="FF1155CC"/>
        <u/>
      </rPr>
      <t>Athletic Bilbao</t>
    </r>
  </si>
  <si>
    <r>
      <rPr>
        <color rgb="FF1155CC"/>
        <u/>
      </rPr>
      <t>CF Valencia</t>
    </r>
  </si>
  <si>
    <r>
      <rPr>
        <color rgb="FF1155CC"/>
        <u/>
      </rPr>
      <t>Celta de Vigo</t>
    </r>
  </si>
  <si>
    <r>
      <rPr>
        <color rgb="FF1155CC"/>
        <u/>
      </rPr>
      <t>Osasuna</t>
    </r>
  </si>
  <si>
    <r>
      <rPr>
        <color rgb="FF1155CC"/>
        <u/>
      </rPr>
      <t>Espanyol</t>
    </r>
  </si>
  <si>
    <r>
      <rPr>
        <color rgb="FF1155CC"/>
        <u/>
      </rPr>
      <t>RCD Mallorca</t>
    </r>
  </si>
  <si>
    <r>
      <rPr>
        <color rgb="FF1155CC"/>
        <u/>
      </rPr>
      <t>Granada CF</t>
    </r>
  </si>
  <si>
    <r>
      <rPr>
        <color rgb="FF1155CC"/>
        <u/>
      </rPr>
      <t>UD Levante</t>
    </r>
  </si>
  <si>
    <r>
      <rPr>
        <color rgb="FF1155CC"/>
        <u/>
      </rPr>
      <t>Getafe</t>
    </r>
  </si>
  <si>
    <r>
      <rPr>
        <color rgb="FF1155CC"/>
        <u/>
      </rPr>
      <t>Elche</t>
    </r>
  </si>
  <si>
    <r>
      <rPr>
        <color rgb="FF1155CC"/>
        <u/>
      </rPr>
      <t>Deportivo Alaves</t>
    </r>
  </si>
  <si>
    <r>
      <rPr>
        <color rgb="FF1155CC"/>
        <u/>
      </rPr>
      <t>Cadiz CF</t>
    </r>
  </si>
  <si>
    <r>
      <rPr>
        <color rgb="FF1155CC"/>
        <u/>
      </rPr>
      <t>Atletico Madrid</t>
    </r>
  </si>
  <si>
    <r>
      <rPr>
        <color rgb="FF1155CC"/>
        <u/>
      </rPr>
      <t>Real Madrid</t>
    </r>
  </si>
  <si>
    <r>
      <rPr>
        <color rgb="FF1155CC"/>
        <u/>
      </rPr>
      <t>FC Barcelona</t>
    </r>
  </si>
  <si>
    <r>
      <rPr>
        <color rgb="FF1155CC"/>
        <u/>
      </rPr>
      <t>Sevilla</t>
    </r>
  </si>
  <si>
    <r>
      <rPr>
        <color rgb="FF1155CC"/>
        <u/>
      </rPr>
      <t>Real Sociedad</t>
    </r>
  </si>
  <si>
    <r>
      <rPr>
        <color rgb="FF1155CC"/>
        <u/>
      </rPr>
      <t>Villarreal</t>
    </r>
  </si>
  <si>
    <r>
      <rPr>
        <color rgb="FF1155CC"/>
        <u/>
      </rPr>
      <t>Getafe</t>
    </r>
  </si>
  <si>
    <r>
      <rPr>
        <color rgb="FF1155CC"/>
        <u/>
      </rPr>
      <t>Real Betis</t>
    </r>
  </si>
  <si>
    <r>
      <rPr>
        <color rgb="FF1155CC"/>
        <u/>
      </rPr>
      <t>Athletic Bilbao</t>
    </r>
  </si>
  <si>
    <r>
      <rPr>
        <color rgb="FF1155CC"/>
        <u/>
      </rPr>
      <t>CF Valencia</t>
    </r>
  </si>
  <si>
    <r>
      <rPr>
        <color rgb="FF1155CC"/>
        <u/>
      </rPr>
      <t>Celta de Vigo</t>
    </r>
  </si>
  <si>
    <r>
      <rPr>
        <color rgb="FF1155CC"/>
        <u/>
      </rPr>
      <t>Eibar</t>
    </r>
  </si>
  <si>
    <r>
      <rPr>
        <color rgb="FF1155CC"/>
        <u/>
      </rPr>
      <t>Granada CF</t>
    </r>
  </si>
  <si>
    <r>
      <rPr>
        <color rgb="FF1155CC"/>
        <u/>
      </rPr>
      <t>Osasuna</t>
    </r>
  </si>
  <si>
    <r>
      <rPr>
        <color rgb="FF1155CC"/>
        <u/>
      </rPr>
      <t>Alaves</t>
    </r>
  </si>
  <si>
    <r>
      <rPr>
        <color rgb="FF1155CC"/>
        <u/>
      </rPr>
      <t>UD Levante</t>
    </r>
  </si>
  <si>
    <r>
      <rPr>
        <color rgb="FF1155CC"/>
        <u/>
      </rPr>
      <t>Valladolid</t>
    </r>
  </si>
  <si>
    <r>
      <rPr>
        <color rgb="FF1155CC"/>
        <u/>
      </rPr>
      <t>Cadiz CF</t>
    </r>
  </si>
  <si>
    <r>
      <rPr>
        <color rgb="FF1155CC"/>
        <u/>
      </rPr>
      <t>Huesca</t>
    </r>
  </si>
  <si>
    <r>
      <rPr>
        <color rgb="FF1155CC"/>
        <u/>
      </rPr>
      <t>Elche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</si>
</sst>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m 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u/>
      <color rgb="FF0000FF"/>
    </font>
    <font>
      <u/>
      <color rgb="FF0000FF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164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6" numFmtId="164" xfId="0" applyAlignment="1" applyFont="1" applyNumberFormat="1">
      <alignment horizontal="right" readingOrder="0"/>
    </xf>
    <xf borderId="0" fillId="0" fontId="7" numFmtId="165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ortsoddshistory.com/soccer-odd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oddshistory.com/soccer-team/?sa=soccer&amp;Team=Liverpool" TargetMode="External"/><Relationship Id="rId42" Type="http://schemas.openxmlformats.org/officeDocument/2006/relationships/hyperlink" Target="https://www.sportsoddshistory.com/soccer-team/?sa=soccer&amp;Team=Nottingham+Forest" TargetMode="External"/><Relationship Id="rId41" Type="http://schemas.openxmlformats.org/officeDocument/2006/relationships/hyperlink" Target="https://www.sportsoddshistory.com/soccer-team/?sa=soccer&amp;Team=Arsenal" TargetMode="External"/><Relationship Id="rId44" Type="http://schemas.openxmlformats.org/officeDocument/2006/relationships/hyperlink" Target="https://www.sportsoddshistory.com/soccer-team/?sa=soccer&amp;Team=Chelsea" TargetMode="External"/><Relationship Id="rId43" Type="http://schemas.openxmlformats.org/officeDocument/2006/relationships/hyperlink" Target="https://www.sportsoddshistory.com/soccer-team/?sa=soccer&amp;Team=Manchester+City" TargetMode="External"/><Relationship Id="rId46" Type="http://schemas.openxmlformats.org/officeDocument/2006/relationships/hyperlink" Target="https://www.sportsoddshistory.com/soccer-team/?sa=soccer&amp;Team=Aston+Villa" TargetMode="External"/><Relationship Id="rId45" Type="http://schemas.openxmlformats.org/officeDocument/2006/relationships/hyperlink" Target="https://www.sportsoddshistory.com/soccer-team/?sa=soccer&amp;Team=Newcastle+United" TargetMode="External"/><Relationship Id="rId107" Type="http://schemas.openxmlformats.org/officeDocument/2006/relationships/hyperlink" Target="https://www.sportsoddshistory.com/soccer-team/?sa=soccer&amp;Team=Brighton" TargetMode="External"/><Relationship Id="rId106" Type="http://schemas.openxmlformats.org/officeDocument/2006/relationships/hyperlink" Target="https://www.sportsoddshistory.com/soccer-team/?sa=soccer&amp;Team=Chelsea" TargetMode="External"/><Relationship Id="rId105" Type="http://schemas.openxmlformats.org/officeDocument/2006/relationships/hyperlink" Target="https://www.sportsoddshistory.com/soccer-team/?sa=soccer&amp;Team=Liverpool" TargetMode="External"/><Relationship Id="rId104" Type="http://schemas.openxmlformats.org/officeDocument/2006/relationships/hyperlink" Target="https://www.sportsoddshistory.com/soccer-team/?sa=soccer&amp;Team=Tottenham+Hotspur" TargetMode="External"/><Relationship Id="rId109" Type="http://schemas.openxmlformats.org/officeDocument/2006/relationships/hyperlink" Target="https://www.sportsoddshistory.com/soccer-team/?sa=soccer&amp;Team=West+Ham+United" TargetMode="External"/><Relationship Id="rId108" Type="http://schemas.openxmlformats.org/officeDocument/2006/relationships/hyperlink" Target="https://www.sportsoddshistory.com/soccer-team/?sa=soccer&amp;Team=Brentford" TargetMode="External"/><Relationship Id="rId48" Type="http://schemas.openxmlformats.org/officeDocument/2006/relationships/hyperlink" Target="https://www.sportsoddshistory.com/soccer-team/?sa=soccer&amp;Team=Manchester+United" TargetMode="External"/><Relationship Id="rId47" Type="http://schemas.openxmlformats.org/officeDocument/2006/relationships/hyperlink" Target="https://www.sportsoddshistory.com/soccer-team/?sa=soccer&amp;Team=Tottenham+Hotspur" TargetMode="External"/><Relationship Id="rId49" Type="http://schemas.openxmlformats.org/officeDocument/2006/relationships/hyperlink" Target="https://www.sportsoddshistory.com/soccer-team/?sa=soccer&amp;Team=Brighton" TargetMode="External"/><Relationship Id="rId103" Type="http://schemas.openxmlformats.org/officeDocument/2006/relationships/hyperlink" Target="https://www.sportsoddshistory.com/soccer-team/?sa=soccer&amp;Team=Newcastle+United" TargetMode="External"/><Relationship Id="rId102" Type="http://schemas.openxmlformats.org/officeDocument/2006/relationships/hyperlink" Target="https://www.sportsoddshistory.com/soccer-team/?sa=soccer&amp;Team=Manchester+United" TargetMode="External"/><Relationship Id="rId101" Type="http://schemas.openxmlformats.org/officeDocument/2006/relationships/hyperlink" Target="https://www.sportsoddshistory.com/soccer-team/?sa=soccer&amp;Team=Arsenal" TargetMode="External"/><Relationship Id="rId100" Type="http://schemas.openxmlformats.org/officeDocument/2006/relationships/hyperlink" Target="https://www.sportsoddshistory.com/soccer-team/?sa=soccer&amp;Team=Manchester+City" TargetMode="External"/><Relationship Id="rId31" Type="http://schemas.openxmlformats.org/officeDocument/2006/relationships/hyperlink" Target="https://www.sportsoddshistory.com/soccer-main/?y=2024-2025&amp;sa=soccer&amp;a=epl&amp;b=two&amp;o=p2" TargetMode="External"/><Relationship Id="rId30" Type="http://schemas.openxmlformats.org/officeDocument/2006/relationships/hyperlink" Target="https://www.sportsoddshistory.com/soccer-main/?y=2024-2025&amp;sa=soccer&amp;a=epl&amp;b=two&amp;o=p1" TargetMode="External"/><Relationship Id="rId33" Type="http://schemas.openxmlformats.org/officeDocument/2006/relationships/hyperlink" Target="https://www.sportsoddshistory.com/soccer-main/?y=2024-2025&amp;sa=soccer&amp;a=epl&amp;b=two&amp;o=11" TargetMode="External"/><Relationship Id="rId32" Type="http://schemas.openxmlformats.org/officeDocument/2006/relationships/hyperlink" Target="https://www.sportsoddshistory.com/soccer-main/?y=2024-2025&amp;sa=soccer&amp;a=epl&amp;b=two&amp;o=10" TargetMode="External"/><Relationship Id="rId35" Type="http://schemas.openxmlformats.org/officeDocument/2006/relationships/hyperlink" Target="https://www.sportsoddshistory.com/soccer-main/?y=2024-2025&amp;sa=soccer&amp;a=epl&amp;b=two&amp;o=01" TargetMode="External"/><Relationship Id="rId34" Type="http://schemas.openxmlformats.org/officeDocument/2006/relationships/hyperlink" Target="https://www.sportsoddshistory.com/soccer-main/?y=2024-2025&amp;sa=soccer&amp;a=epl&amp;b=two&amp;o=12" TargetMode="External"/><Relationship Id="rId37" Type="http://schemas.openxmlformats.org/officeDocument/2006/relationships/hyperlink" Target="https://www.sportsoddshistory.com/soccer-main/?y=2024-2025&amp;sa=soccer&amp;a=epl&amp;b=two&amp;o=03" TargetMode="External"/><Relationship Id="rId176" Type="http://schemas.openxmlformats.org/officeDocument/2006/relationships/hyperlink" Target="https://www.sportsoddshistory.com/soccer-team/?sa=soccer&amp;Team=West+Bromwich+Albion" TargetMode="External"/><Relationship Id="rId36" Type="http://schemas.openxmlformats.org/officeDocument/2006/relationships/hyperlink" Target="https://www.sportsoddshistory.com/soccer-main/?y=2024-2025&amp;sa=soccer&amp;a=epl&amp;b=two&amp;o=02" TargetMode="External"/><Relationship Id="rId175" Type="http://schemas.openxmlformats.org/officeDocument/2006/relationships/hyperlink" Target="https://www.sportsoddshistory.com/soccer-team/?sa=soccer&amp;Team=Burnley" TargetMode="External"/><Relationship Id="rId39" Type="http://schemas.openxmlformats.org/officeDocument/2006/relationships/hyperlink" Target="https://www.sportsoddshistory.com/soccer-main/?y=2024-2025&amp;sa=soccer&amp;a=epl&amp;b=two&amp;o=05" TargetMode="External"/><Relationship Id="rId174" Type="http://schemas.openxmlformats.org/officeDocument/2006/relationships/hyperlink" Target="https://www.sportsoddshistory.com/soccer-team/?sa=soccer&amp;Team=Brighton" TargetMode="External"/><Relationship Id="rId38" Type="http://schemas.openxmlformats.org/officeDocument/2006/relationships/hyperlink" Target="https://www.sportsoddshistory.com/soccer-main/?y=2024-2025&amp;sa=soccer&amp;a=epl&amp;b=two&amp;o=04" TargetMode="External"/><Relationship Id="rId173" Type="http://schemas.openxmlformats.org/officeDocument/2006/relationships/hyperlink" Target="https://www.sportsoddshistory.com/soccer-team/?sa=soccer&amp;Team=Newcastle+United" TargetMode="External"/><Relationship Id="rId179" Type="http://schemas.openxmlformats.org/officeDocument/2006/relationships/drawing" Target="../drawings/drawing2.xml"/><Relationship Id="rId178" Type="http://schemas.openxmlformats.org/officeDocument/2006/relationships/hyperlink" Target="https://www.sportsoddshistory.com/soccer-team/?sa=soccer&amp;Team=Sheffield+United" TargetMode="External"/><Relationship Id="rId177" Type="http://schemas.openxmlformats.org/officeDocument/2006/relationships/hyperlink" Target="https://www.sportsoddshistory.com/soccer-team/?sa=soccer&amp;Team=Fulham" TargetMode="External"/><Relationship Id="rId20" Type="http://schemas.openxmlformats.org/officeDocument/2006/relationships/hyperlink" Target="https://www.sportsoddshistory.com/soccer-team/?sa=soccer&amp;Team=Aston+Villa" TargetMode="External"/><Relationship Id="rId22" Type="http://schemas.openxmlformats.org/officeDocument/2006/relationships/hyperlink" Target="https://www.sportsoddshistory.com/soccer-team/?sa=soccer&amp;Team=Everton" TargetMode="External"/><Relationship Id="rId21" Type="http://schemas.openxmlformats.org/officeDocument/2006/relationships/hyperlink" Target="https://www.sportsoddshistory.com/soccer-team/?sa=soccer&amp;Team=Crystal+Palace" TargetMode="External"/><Relationship Id="rId24" Type="http://schemas.openxmlformats.org/officeDocument/2006/relationships/hyperlink" Target="https://www.sportsoddshistory.com/soccer-team/?sa=soccer&amp;Team=Nottingham+Forest" TargetMode="External"/><Relationship Id="rId23" Type="http://schemas.openxmlformats.org/officeDocument/2006/relationships/hyperlink" Target="https://www.sportsoddshistory.com/soccer-team/?sa=soccer&amp;Team=Brentford" TargetMode="External"/><Relationship Id="rId129" Type="http://schemas.openxmlformats.org/officeDocument/2006/relationships/hyperlink" Target="https://www.sportsoddshistory.com/soccer-main/?y=2021-2022&amp;sa=soccer&amp;a=epl&amp;b=two&amp;o=05" TargetMode="External"/><Relationship Id="rId128" Type="http://schemas.openxmlformats.org/officeDocument/2006/relationships/hyperlink" Target="https://www.sportsoddshistory.com/soccer-main/?y=2021-2022&amp;sa=soccer&amp;a=epl&amp;b=two&amp;o=04" TargetMode="External"/><Relationship Id="rId127" Type="http://schemas.openxmlformats.org/officeDocument/2006/relationships/hyperlink" Target="https://www.sportsoddshistory.com/soccer-main/?y=2021-2022&amp;sa=soccer&amp;a=epl&amp;b=two&amp;o=03" TargetMode="External"/><Relationship Id="rId126" Type="http://schemas.openxmlformats.org/officeDocument/2006/relationships/hyperlink" Target="https://www.sportsoddshistory.com/soccer-main/?y=2021-2022&amp;sa=soccer&amp;a=epl&amp;b=two&amp;o=02" TargetMode="External"/><Relationship Id="rId26" Type="http://schemas.openxmlformats.org/officeDocument/2006/relationships/hyperlink" Target="https://www.sportsoddshistory.com/soccer-team/?sa=soccer&amp;Team=Leeds+United" TargetMode="External"/><Relationship Id="rId121" Type="http://schemas.openxmlformats.org/officeDocument/2006/relationships/hyperlink" Target="https://www.sportsoddshistory.com/soccer-main/?y=2021-2022&amp;sa=soccer&amp;a=epl&amp;b=two&amp;o=p2" TargetMode="External"/><Relationship Id="rId25" Type="http://schemas.openxmlformats.org/officeDocument/2006/relationships/hyperlink" Target="https://www.sportsoddshistory.com/soccer-team/?sa=soccer&amp;Team=Fulham" TargetMode="External"/><Relationship Id="rId120" Type="http://schemas.openxmlformats.org/officeDocument/2006/relationships/hyperlink" Target="https://www.sportsoddshistory.com/soccer-main/?y=2021-2022&amp;sa=soccer&amp;a=epl&amp;b=two&amp;o=p1" TargetMode="External"/><Relationship Id="rId28" Type="http://schemas.openxmlformats.org/officeDocument/2006/relationships/hyperlink" Target="https://www.sportsoddshistory.com/soccer-team/?sa=soccer&amp;Team=Burnley" TargetMode="External"/><Relationship Id="rId27" Type="http://schemas.openxmlformats.org/officeDocument/2006/relationships/hyperlink" Target="https://www.sportsoddshistory.com/soccer-team/?sa=soccer&amp;Team=West+Ham+United" TargetMode="External"/><Relationship Id="rId125" Type="http://schemas.openxmlformats.org/officeDocument/2006/relationships/hyperlink" Target="https://www.sportsoddshistory.com/soccer-main/?y=2021-2022&amp;sa=soccer&amp;a=epl&amp;b=two&amp;o=01" TargetMode="External"/><Relationship Id="rId29" Type="http://schemas.openxmlformats.org/officeDocument/2006/relationships/hyperlink" Target="https://www.sportsoddshistory.com/soccer-team/?sa=soccer&amp;Team=Wolverhampton" TargetMode="External"/><Relationship Id="rId124" Type="http://schemas.openxmlformats.org/officeDocument/2006/relationships/hyperlink" Target="https://www.sportsoddshistory.com/soccer-main/?y=2021-2022&amp;sa=soccer&amp;a=epl&amp;b=two&amp;o=12" TargetMode="External"/><Relationship Id="rId123" Type="http://schemas.openxmlformats.org/officeDocument/2006/relationships/hyperlink" Target="https://www.sportsoddshistory.com/soccer-main/?y=2021-2022&amp;sa=soccer&amp;a=epl&amp;b=two&amp;o=11" TargetMode="External"/><Relationship Id="rId122" Type="http://schemas.openxmlformats.org/officeDocument/2006/relationships/hyperlink" Target="https://www.sportsoddshistory.com/soccer-main/?y=2021-2022&amp;sa=soccer&amp;a=epl&amp;b=two&amp;o=10" TargetMode="External"/><Relationship Id="rId95" Type="http://schemas.openxmlformats.org/officeDocument/2006/relationships/hyperlink" Target="https://www.sportsoddshistory.com/soccer-main/?y=2022-2023&amp;sa=soccer&amp;a=epl&amp;b=two&amp;o=01" TargetMode="External"/><Relationship Id="rId94" Type="http://schemas.openxmlformats.org/officeDocument/2006/relationships/hyperlink" Target="https://www.sportsoddshistory.com/soccer-main/?y=2022-2023&amp;sa=soccer&amp;a=epl&amp;b=two&amp;o=12" TargetMode="External"/><Relationship Id="rId97" Type="http://schemas.openxmlformats.org/officeDocument/2006/relationships/hyperlink" Target="https://www.sportsoddshistory.com/soccer-main/?y=2022-2023&amp;sa=soccer&amp;a=epl&amp;b=two&amp;o=03" TargetMode="External"/><Relationship Id="rId96" Type="http://schemas.openxmlformats.org/officeDocument/2006/relationships/hyperlink" Target="https://www.sportsoddshistory.com/soccer-main/?y=2022-2023&amp;sa=soccer&amp;a=epl&amp;b=two&amp;o=02" TargetMode="External"/><Relationship Id="rId11" Type="http://schemas.openxmlformats.org/officeDocument/2006/relationships/hyperlink" Target="https://www.sportsoddshistory.com/soccer-team/?sa=soccer&amp;Team=Manchester+City" TargetMode="External"/><Relationship Id="rId99" Type="http://schemas.openxmlformats.org/officeDocument/2006/relationships/hyperlink" Target="https://www.sportsoddshistory.com/soccer-main/?y=2022-2023&amp;sa=soccer&amp;a=epl&amp;b=two&amp;o=05" TargetMode="External"/><Relationship Id="rId10" Type="http://schemas.openxmlformats.org/officeDocument/2006/relationships/hyperlink" Target="https://www.sportsoddshistory.com/soccer-team/?sa=soccer&amp;Team=Arsenal" TargetMode="External"/><Relationship Id="rId98" Type="http://schemas.openxmlformats.org/officeDocument/2006/relationships/hyperlink" Target="https://www.sportsoddshistory.com/soccer-main/?y=2022-2023&amp;sa=soccer&amp;a=epl&amp;b=two&amp;o=04" TargetMode="External"/><Relationship Id="rId13" Type="http://schemas.openxmlformats.org/officeDocument/2006/relationships/hyperlink" Target="https://www.sportsoddshistory.com/soccer-team/?sa=soccer&amp;Team=Manchester+United" TargetMode="External"/><Relationship Id="rId12" Type="http://schemas.openxmlformats.org/officeDocument/2006/relationships/hyperlink" Target="https://www.sportsoddshistory.com/soccer-team/?sa=soccer&amp;Team=Liverpool" TargetMode="External"/><Relationship Id="rId91" Type="http://schemas.openxmlformats.org/officeDocument/2006/relationships/hyperlink" Target="https://www.sportsoddshistory.com/soccer-main/?y=2022-2023&amp;sa=soccer&amp;a=epl&amp;b=two&amp;o=p2" TargetMode="External"/><Relationship Id="rId90" Type="http://schemas.openxmlformats.org/officeDocument/2006/relationships/hyperlink" Target="https://www.sportsoddshistory.com/soccer-main/?y=2022-2023&amp;sa=soccer&amp;a=epl&amp;b=two&amp;o=p1" TargetMode="External"/><Relationship Id="rId93" Type="http://schemas.openxmlformats.org/officeDocument/2006/relationships/hyperlink" Target="https://www.sportsoddshistory.com/soccer-main/?y=2022-2023&amp;sa=soccer&amp;a=epl&amp;b=two&amp;o=11" TargetMode="External"/><Relationship Id="rId92" Type="http://schemas.openxmlformats.org/officeDocument/2006/relationships/hyperlink" Target="https://www.sportsoddshistory.com/soccer-main/?y=2022-2023&amp;sa=soccer&amp;a=epl&amp;b=two&amp;o=10" TargetMode="External"/><Relationship Id="rId118" Type="http://schemas.openxmlformats.org/officeDocument/2006/relationships/hyperlink" Target="https://www.sportsoddshistory.com/soccer-team/?sa=soccer&amp;Team=Bournemouth" TargetMode="External"/><Relationship Id="rId117" Type="http://schemas.openxmlformats.org/officeDocument/2006/relationships/hyperlink" Target="https://www.sportsoddshistory.com/soccer-team/?sa=soccer&amp;Team=Fulham" TargetMode="External"/><Relationship Id="rId116" Type="http://schemas.openxmlformats.org/officeDocument/2006/relationships/hyperlink" Target="https://www.sportsoddshistory.com/soccer-team/?sa=soccer&amp;Team=Wolverhampton" TargetMode="External"/><Relationship Id="rId115" Type="http://schemas.openxmlformats.org/officeDocument/2006/relationships/hyperlink" Target="https://www.sportsoddshistory.com/soccer-team/?sa=soccer&amp;Team=Aston+Villa" TargetMode="External"/><Relationship Id="rId119" Type="http://schemas.openxmlformats.org/officeDocument/2006/relationships/hyperlink" Target="https://www.sportsoddshistory.com/soccer-team/?sa=soccer&amp;Team=Nottingham+Forest" TargetMode="External"/><Relationship Id="rId15" Type="http://schemas.openxmlformats.org/officeDocument/2006/relationships/hyperlink" Target="https://www.sportsoddshistory.com/soccer-team/?sa=soccer&amp;Team=Tottenham+Hotspur" TargetMode="External"/><Relationship Id="rId110" Type="http://schemas.openxmlformats.org/officeDocument/2006/relationships/hyperlink" Target="https://www.sportsoddshistory.com/soccer-team/?sa=soccer&amp;Team=Crystal+Palace" TargetMode="External"/><Relationship Id="rId14" Type="http://schemas.openxmlformats.org/officeDocument/2006/relationships/hyperlink" Target="https://www.sportsoddshistory.com/soccer-team/?sa=soccer&amp;Team=Chelsea" TargetMode="External"/><Relationship Id="rId17" Type="http://schemas.openxmlformats.org/officeDocument/2006/relationships/hyperlink" Target="https://www.sportsoddshistory.com/soccer-team/?sa=soccer&amp;Team=Bournemouth" TargetMode="External"/><Relationship Id="rId16" Type="http://schemas.openxmlformats.org/officeDocument/2006/relationships/hyperlink" Target="https://www.sportsoddshistory.com/soccer-team/?sa=soccer&amp;Team=Newcastle+United" TargetMode="External"/><Relationship Id="rId19" Type="http://schemas.openxmlformats.org/officeDocument/2006/relationships/hyperlink" Target="https://www.sportsoddshistory.com/soccer-team/?sa=soccer&amp;Team=Brighton" TargetMode="External"/><Relationship Id="rId114" Type="http://schemas.openxmlformats.org/officeDocument/2006/relationships/hyperlink" Target="https://www.sportsoddshistory.com/soccer-team/?sa=soccer&amp;Team=Everton" TargetMode="External"/><Relationship Id="rId18" Type="http://schemas.openxmlformats.org/officeDocument/2006/relationships/hyperlink" Target="https://www.sportsoddshistory.com/soccer-team/?sa=soccer&amp;Team=Sunderland" TargetMode="External"/><Relationship Id="rId113" Type="http://schemas.openxmlformats.org/officeDocument/2006/relationships/hyperlink" Target="https://www.sportsoddshistory.com/soccer-team/?sa=soccer&amp;Team=Leicester+City" TargetMode="External"/><Relationship Id="rId112" Type="http://schemas.openxmlformats.org/officeDocument/2006/relationships/hyperlink" Target="https://www.sportsoddshistory.com/soccer-team/?sa=soccer&amp;Team=Southampton" TargetMode="External"/><Relationship Id="rId111" Type="http://schemas.openxmlformats.org/officeDocument/2006/relationships/hyperlink" Target="https://www.sportsoddshistory.com/soccer-team/?sa=soccer&amp;Team=Leeds+United" TargetMode="External"/><Relationship Id="rId84" Type="http://schemas.openxmlformats.org/officeDocument/2006/relationships/hyperlink" Target="https://www.sportsoddshistory.com/soccer-team/?sa=soccer&amp;Team=Brentford" TargetMode="External"/><Relationship Id="rId83" Type="http://schemas.openxmlformats.org/officeDocument/2006/relationships/hyperlink" Target="https://www.sportsoddshistory.com/soccer-team/?sa=soccer&amp;Team=Fulham" TargetMode="External"/><Relationship Id="rId86" Type="http://schemas.openxmlformats.org/officeDocument/2006/relationships/hyperlink" Target="https://www.sportsoddshistory.com/soccer-team/?sa=soccer&amp;Team=Burnley" TargetMode="External"/><Relationship Id="rId85" Type="http://schemas.openxmlformats.org/officeDocument/2006/relationships/hyperlink" Target="https://www.sportsoddshistory.com/soccer-team/?sa=soccer&amp;Team=Nottingham+Forest" TargetMode="External"/><Relationship Id="rId88" Type="http://schemas.openxmlformats.org/officeDocument/2006/relationships/hyperlink" Target="https://www.sportsoddshistory.com/soccer-team/?sa=soccer&amp;Team=Sheffield+United" TargetMode="External"/><Relationship Id="rId150" Type="http://schemas.openxmlformats.org/officeDocument/2006/relationships/hyperlink" Target="https://www.sportsoddshistory.com/soccer-main/?y=2020-2021&amp;sa=soccer&amp;a=epl&amp;b=two&amp;o=p1" TargetMode="External"/><Relationship Id="rId87" Type="http://schemas.openxmlformats.org/officeDocument/2006/relationships/hyperlink" Target="https://www.sportsoddshistory.com/soccer-team/?sa=soccer&amp;Team=Everton" TargetMode="External"/><Relationship Id="rId89" Type="http://schemas.openxmlformats.org/officeDocument/2006/relationships/hyperlink" Target="https://www.sportsoddshistory.com/soccer-team/?sa=soccer&amp;Team=Luton+Town" TargetMode="External"/><Relationship Id="rId80" Type="http://schemas.openxmlformats.org/officeDocument/2006/relationships/hyperlink" Target="https://www.sportsoddshistory.com/soccer-team/?sa=soccer&amp;Team=Wolverhampton" TargetMode="External"/><Relationship Id="rId82" Type="http://schemas.openxmlformats.org/officeDocument/2006/relationships/hyperlink" Target="https://www.sportsoddshistory.com/soccer-team/?sa=soccer&amp;Team=Crystal+Palace" TargetMode="External"/><Relationship Id="rId81" Type="http://schemas.openxmlformats.org/officeDocument/2006/relationships/hyperlink" Target="https://www.sportsoddshistory.com/soccer-team/?sa=soccer&amp;Team=Bournemouth" TargetMode="External"/><Relationship Id="rId1" Type="http://schemas.openxmlformats.org/officeDocument/2006/relationships/hyperlink" Target="https://www.sportsoddshistory.com/soccer-main/?y=2025-2026&amp;sa=soccer&amp;a=epl&amp;b=two&amp;o=p1" TargetMode="External"/><Relationship Id="rId2" Type="http://schemas.openxmlformats.org/officeDocument/2006/relationships/hyperlink" Target="https://www.sportsoddshistory.com/soccer-main/?y=2025-2026&amp;sa=soccer&amp;a=epl&amp;b=two&amp;o=10" TargetMode="External"/><Relationship Id="rId3" Type="http://schemas.openxmlformats.org/officeDocument/2006/relationships/hyperlink" Target="https://www.sportsoddshistory.com/soccer-main/?y=2025-2026&amp;sa=soccer&amp;a=epl&amp;b=two&amp;o=11" TargetMode="External"/><Relationship Id="rId149" Type="http://schemas.openxmlformats.org/officeDocument/2006/relationships/hyperlink" Target="https://www.sportsoddshistory.com/soccer-team/?sa=soccer&amp;Team=Norwich+City" TargetMode="External"/><Relationship Id="rId4" Type="http://schemas.openxmlformats.org/officeDocument/2006/relationships/hyperlink" Target="https://www.sportsoddshistory.com/soccer-main/?y=2025-2026&amp;sa=soccer&amp;a=epl&amp;b=two&amp;o=12" TargetMode="External"/><Relationship Id="rId148" Type="http://schemas.openxmlformats.org/officeDocument/2006/relationships/hyperlink" Target="https://www.sportsoddshistory.com/soccer-team/?sa=soccer&amp;Team=Watford" TargetMode="External"/><Relationship Id="rId9" Type="http://schemas.openxmlformats.org/officeDocument/2006/relationships/hyperlink" Target="https://www.sportsoddshistory.com/soccer-main/?y=2025-2026&amp;sa=soccer&amp;a=epl&amp;b=two&amp;o=05" TargetMode="External"/><Relationship Id="rId143" Type="http://schemas.openxmlformats.org/officeDocument/2006/relationships/hyperlink" Target="https://www.sportsoddshistory.com/soccer-team/?sa=soccer&amp;Team=Brentford" TargetMode="External"/><Relationship Id="rId142" Type="http://schemas.openxmlformats.org/officeDocument/2006/relationships/hyperlink" Target="https://www.sportsoddshistory.com/soccer-team/?sa=soccer&amp;Team=Aston+Villa" TargetMode="External"/><Relationship Id="rId141" Type="http://schemas.openxmlformats.org/officeDocument/2006/relationships/hyperlink" Target="https://www.sportsoddshistory.com/soccer-team/?sa=soccer&amp;Team=Crystal+Palace" TargetMode="External"/><Relationship Id="rId140" Type="http://schemas.openxmlformats.org/officeDocument/2006/relationships/hyperlink" Target="https://www.sportsoddshistory.com/soccer-team/?sa=soccer&amp;Team=Everton" TargetMode="External"/><Relationship Id="rId5" Type="http://schemas.openxmlformats.org/officeDocument/2006/relationships/hyperlink" Target="https://www.sportsoddshistory.com/soccer-main/?y=2025-2026&amp;sa=soccer&amp;a=epl&amp;b=two&amp;o=01" TargetMode="External"/><Relationship Id="rId147" Type="http://schemas.openxmlformats.org/officeDocument/2006/relationships/hyperlink" Target="https://www.sportsoddshistory.com/soccer-team/?sa=soccer&amp;Team=Burnley" TargetMode="External"/><Relationship Id="rId6" Type="http://schemas.openxmlformats.org/officeDocument/2006/relationships/hyperlink" Target="https://www.sportsoddshistory.com/soccer-main/?y=2025-2026&amp;sa=soccer&amp;a=epl&amp;b=two&amp;o=02" TargetMode="External"/><Relationship Id="rId146" Type="http://schemas.openxmlformats.org/officeDocument/2006/relationships/hyperlink" Target="https://www.sportsoddshistory.com/soccer-team/?sa=soccer&amp;Team=Newcastle+United" TargetMode="External"/><Relationship Id="rId7" Type="http://schemas.openxmlformats.org/officeDocument/2006/relationships/hyperlink" Target="https://www.sportsoddshistory.com/soccer-main/?y=2025-2026&amp;sa=soccer&amp;a=epl&amp;b=two&amp;o=03" TargetMode="External"/><Relationship Id="rId145" Type="http://schemas.openxmlformats.org/officeDocument/2006/relationships/hyperlink" Target="https://www.sportsoddshistory.com/soccer-team/?sa=soccer&amp;Team=Leeds+United" TargetMode="External"/><Relationship Id="rId8" Type="http://schemas.openxmlformats.org/officeDocument/2006/relationships/hyperlink" Target="https://www.sportsoddshistory.com/soccer-main/?y=2025-2026&amp;sa=soccer&amp;a=epl&amp;b=two&amp;o=04" TargetMode="External"/><Relationship Id="rId144" Type="http://schemas.openxmlformats.org/officeDocument/2006/relationships/hyperlink" Target="https://www.sportsoddshistory.com/soccer-team/?sa=soccer&amp;Team=Southampton" TargetMode="External"/><Relationship Id="rId73" Type="http://schemas.openxmlformats.org/officeDocument/2006/relationships/hyperlink" Target="https://www.sportsoddshistory.com/soccer-team/?sa=soccer&amp;Team=Aston+Villa" TargetMode="External"/><Relationship Id="rId72" Type="http://schemas.openxmlformats.org/officeDocument/2006/relationships/hyperlink" Target="https://www.sportsoddshistory.com/soccer-team/?sa=soccer&amp;Team=Liverpool" TargetMode="External"/><Relationship Id="rId75" Type="http://schemas.openxmlformats.org/officeDocument/2006/relationships/hyperlink" Target="https://www.sportsoddshistory.com/soccer-team/?sa=soccer&amp;Team=Manchester+United" TargetMode="External"/><Relationship Id="rId74" Type="http://schemas.openxmlformats.org/officeDocument/2006/relationships/hyperlink" Target="https://www.sportsoddshistory.com/soccer-team/?sa=soccer&amp;Team=Tottenham+Hotspur" TargetMode="External"/><Relationship Id="rId77" Type="http://schemas.openxmlformats.org/officeDocument/2006/relationships/hyperlink" Target="https://www.sportsoddshistory.com/soccer-team/?sa=soccer&amp;Team=Newcastle+United" TargetMode="External"/><Relationship Id="rId76" Type="http://schemas.openxmlformats.org/officeDocument/2006/relationships/hyperlink" Target="https://www.sportsoddshistory.com/soccer-team/?sa=soccer&amp;Team=West+Ham+United" TargetMode="External"/><Relationship Id="rId79" Type="http://schemas.openxmlformats.org/officeDocument/2006/relationships/hyperlink" Target="https://www.sportsoddshistory.com/soccer-team/?sa=soccer&amp;Team=Chelsea" TargetMode="External"/><Relationship Id="rId78" Type="http://schemas.openxmlformats.org/officeDocument/2006/relationships/hyperlink" Target="https://www.sportsoddshistory.com/soccer-team/?sa=soccer&amp;Team=Brighton" TargetMode="External"/><Relationship Id="rId71" Type="http://schemas.openxmlformats.org/officeDocument/2006/relationships/hyperlink" Target="https://www.sportsoddshistory.com/soccer-team/?sa=soccer&amp;Team=Arsenal" TargetMode="External"/><Relationship Id="rId70" Type="http://schemas.openxmlformats.org/officeDocument/2006/relationships/hyperlink" Target="https://www.sportsoddshistory.com/soccer-team/?sa=soccer&amp;Team=Manchester+City" TargetMode="External"/><Relationship Id="rId139" Type="http://schemas.openxmlformats.org/officeDocument/2006/relationships/hyperlink" Target="https://www.sportsoddshistory.com/soccer-team/?sa=soccer&amp;Team=Brighton" TargetMode="External"/><Relationship Id="rId138" Type="http://schemas.openxmlformats.org/officeDocument/2006/relationships/hyperlink" Target="https://www.sportsoddshistory.com/soccer-team/?sa=soccer&amp;Team=Wolverhampton" TargetMode="External"/><Relationship Id="rId137" Type="http://schemas.openxmlformats.org/officeDocument/2006/relationships/hyperlink" Target="https://www.sportsoddshistory.com/soccer-team/?sa=soccer&amp;Team=Leicester+City" TargetMode="External"/><Relationship Id="rId132" Type="http://schemas.openxmlformats.org/officeDocument/2006/relationships/hyperlink" Target="https://www.sportsoddshistory.com/soccer-team/?sa=soccer&amp;Team=Chelsea" TargetMode="External"/><Relationship Id="rId131" Type="http://schemas.openxmlformats.org/officeDocument/2006/relationships/hyperlink" Target="https://www.sportsoddshistory.com/soccer-team/?sa=soccer&amp;Team=Liverpool" TargetMode="External"/><Relationship Id="rId130" Type="http://schemas.openxmlformats.org/officeDocument/2006/relationships/hyperlink" Target="https://www.sportsoddshistory.com/soccer-team/?sa=soccer&amp;Team=Manchester+City" TargetMode="External"/><Relationship Id="rId136" Type="http://schemas.openxmlformats.org/officeDocument/2006/relationships/hyperlink" Target="https://www.sportsoddshistory.com/soccer-team/?sa=soccer&amp;Team=West+Ham+United" TargetMode="External"/><Relationship Id="rId135" Type="http://schemas.openxmlformats.org/officeDocument/2006/relationships/hyperlink" Target="https://www.sportsoddshistory.com/soccer-team/?sa=soccer&amp;Team=Tottenham+Hotspur" TargetMode="External"/><Relationship Id="rId134" Type="http://schemas.openxmlformats.org/officeDocument/2006/relationships/hyperlink" Target="https://www.sportsoddshistory.com/soccer-team/?sa=soccer&amp;Team=Arsenal" TargetMode="External"/><Relationship Id="rId133" Type="http://schemas.openxmlformats.org/officeDocument/2006/relationships/hyperlink" Target="https://www.sportsoddshistory.com/soccer-team/?sa=soccer&amp;Team=Manchester+United" TargetMode="External"/><Relationship Id="rId62" Type="http://schemas.openxmlformats.org/officeDocument/2006/relationships/hyperlink" Target="https://www.sportsoddshistory.com/soccer-main/?y=2023-2024&amp;sa=soccer&amp;a=epl&amp;b=two&amp;o=10" TargetMode="External"/><Relationship Id="rId61" Type="http://schemas.openxmlformats.org/officeDocument/2006/relationships/hyperlink" Target="https://www.sportsoddshistory.com/soccer-main/?y=2023-2024&amp;sa=soccer&amp;a=epl&amp;b=two&amp;o=p2" TargetMode="External"/><Relationship Id="rId64" Type="http://schemas.openxmlformats.org/officeDocument/2006/relationships/hyperlink" Target="https://www.sportsoddshistory.com/soccer-main/?y=2023-2024&amp;sa=soccer&amp;a=epl&amp;b=two&amp;o=12" TargetMode="External"/><Relationship Id="rId63" Type="http://schemas.openxmlformats.org/officeDocument/2006/relationships/hyperlink" Target="https://www.sportsoddshistory.com/soccer-main/?y=2023-2024&amp;sa=soccer&amp;a=epl&amp;b=two&amp;o=11" TargetMode="External"/><Relationship Id="rId66" Type="http://schemas.openxmlformats.org/officeDocument/2006/relationships/hyperlink" Target="https://www.sportsoddshistory.com/soccer-main/?y=2023-2024&amp;sa=soccer&amp;a=epl&amp;b=two&amp;o=02" TargetMode="External"/><Relationship Id="rId172" Type="http://schemas.openxmlformats.org/officeDocument/2006/relationships/hyperlink" Target="https://www.sportsoddshistory.com/soccer-team/?sa=soccer&amp;Team=Crystal+Palace" TargetMode="External"/><Relationship Id="rId65" Type="http://schemas.openxmlformats.org/officeDocument/2006/relationships/hyperlink" Target="https://www.sportsoddshistory.com/soccer-main/?y=2023-2024&amp;sa=soccer&amp;a=epl&amp;b=two&amp;o=01" TargetMode="External"/><Relationship Id="rId171" Type="http://schemas.openxmlformats.org/officeDocument/2006/relationships/hyperlink" Target="https://www.sportsoddshistory.com/soccer-team/?sa=soccer&amp;Team=Wolverhampton" TargetMode="External"/><Relationship Id="rId68" Type="http://schemas.openxmlformats.org/officeDocument/2006/relationships/hyperlink" Target="https://www.sportsoddshistory.com/soccer-main/?y=2023-2024&amp;sa=soccer&amp;a=epl&amp;b=two&amp;o=04" TargetMode="External"/><Relationship Id="rId170" Type="http://schemas.openxmlformats.org/officeDocument/2006/relationships/hyperlink" Target="https://www.sportsoddshistory.com/soccer-team/?sa=soccer&amp;Team=Southampton" TargetMode="External"/><Relationship Id="rId67" Type="http://schemas.openxmlformats.org/officeDocument/2006/relationships/hyperlink" Target="https://www.sportsoddshistory.com/soccer-main/?y=2023-2024&amp;sa=soccer&amp;a=epl&amp;b=two&amp;o=03" TargetMode="External"/><Relationship Id="rId60" Type="http://schemas.openxmlformats.org/officeDocument/2006/relationships/hyperlink" Target="https://www.sportsoddshistory.com/soccer-main/?y=2023-2024&amp;sa=soccer&amp;a=epl&amp;b=two&amp;o=p1" TargetMode="External"/><Relationship Id="rId165" Type="http://schemas.openxmlformats.org/officeDocument/2006/relationships/hyperlink" Target="https://www.sportsoddshistory.com/soccer-team/?sa=soccer&amp;Team=Tottenham+Hotspur" TargetMode="External"/><Relationship Id="rId69" Type="http://schemas.openxmlformats.org/officeDocument/2006/relationships/hyperlink" Target="https://www.sportsoddshistory.com/soccer-main/?y=2023-2024&amp;sa=soccer&amp;a=epl&amp;b=two&amp;o=05" TargetMode="External"/><Relationship Id="rId164" Type="http://schemas.openxmlformats.org/officeDocument/2006/relationships/hyperlink" Target="https://www.sportsoddshistory.com/soccer-team/?sa=soccer&amp;Team=West+Ham+United" TargetMode="External"/><Relationship Id="rId163" Type="http://schemas.openxmlformats.org/officeDocument/2006/relationships/hyperlink" Target="https://www.sportsoddshistory.com/soccer-team/?sa=soccer&amp;Team=Chelsea" TargetMode="External"/><Relationship Id="rId162" Type="http://schemas.openxmlformats.org/officeDocument/2006/relationships/hyperlink" Target="https://www.sportsoddshistory.com/soccer-team/?sa=soccer&amp;Team=Liverpool" TargetMode="External"/><Relationship Id="rId169" Type="http://schemas.openxmlformats.org/officeDocument/2006/relationships/hyperlink" Target="https://www.sportsoddshistory.com/soccer-team/?sa=soccer&amp;Team=Leeds+United" TargetMode="External"/><Relationship Id="rId168" Type="http://schemas.openxmlformats.org/officeDocument/2006/relationships/hyperlink" Target="https://www.sportsoddshistory.com/soccer-team/?sa=soccer&amp;Team=Arsenal" TargetMode="External"/><Relationship Id="rId167" Type="http://schemas.openxmlformats.org/officeDocument/2006/relationships/hyperlink" Target="https://www.sportsoddshistory.com/soccer-team/?sa=soccer&amp;Team=Aston+Villa" TargetMode="External"/><Relationship Id="rId166" Type="http://schemas.openxmlformats.org/officeDocument/2006/relationships/hyperlink" Target="https://www.sportsoddshistory.com/soccer-team/?sa=soccer&amp;Team=Everton" TargetMode="External"/><Relationship Id="rId51" Type="http://schemas.openxmlformats.org/officeDocument/2006/relationships/hyperlink" Target="https://www.sportsoddshistory.com/soccer-team/?sa=soccer&amp;Team=Everton" TargetMode="External"/><Relationship Id="rId50" Type="http://schemas.openxmlformats.org/officeDocument/2006/relationships/hyperlink" Target="https://www.sportsoddshistory.com/soccer-team/?sa=soccer&amp;Team=Fulham" TargetMode="External"/><Relationship Id="rId53" Type="http://schemas.openxmlformats.org/officeDocument/2006/relationships/hyperlink" Target="https://www.sportsoddshistory.com/soccer-team/?sa=soccer&amp;Team=Crystal+Palace" TargetMode="External"/><Relationship Id="rId52" Type="http://schemas.openxmlformats.org/officeDocument/2006/relationships/hyperlink" Target="https://www.sportsoddshistory.com/soccer-team/?sa=soccer&amp;Team=West+Ham+United" TargetMode="External"/><Relationship Id="rId55" Type="http://schemas.openxmlformats.org/officeDocument/2006/relationships/hyperlink" Target="https://www.sportsoddshistory.com/soccer-team/?sa=soccer&amp;Team=Brentford" TargetMode="External"/><Relationship Id="rId161" Type="http://schemas.openxmlformats.org/officeDocument/2006/relationships/hyperlink" Target="https://www.sportsoddshistory.com/soccer-team/?sa=soccer&amp;Team=Leicester+City" TargetMode="External"/><Relationship Id="rId54" Type="http://schemas.openxmlformats.org/officeDocument/2006/relationships/hyperlink" Target="https://www.sportsoddshistory.com/soccer-team/?sa=soccer&amp;Team=Bournemouth" TargetMode="External"/><Relationship Id="rId160" Type="http://schemas.openxmlformats.org/officeDocument/2006/relationships/hyperlink" Target="https://www.sportsoddshistory.com/soccer-team/?sa=soccer&amp;Team=Manchester+United" TargetMode="External"/><Relationship Id="rId57" Type="http://schemas.openxmlformats.org/officeDocument/2006/relationships/hyperlink" Target="https://www.sportsoddshistory.com/soccer-team/?sa=soccer&amp;Team=Leicester+City" TargetMode="External"/><Relationship Id="rId56" Type="http://schemas.openxmlformats.org/officeDocument/2006/relationships/hyperlink" Target="https://www.sportsoddshistory.com/soccer-team/?sa=soccer&amp;Team=Wolverhampton" TargetMode="External"/><Relationship Id="rId159" Type="http://schemas.openxmlformats.org/officeDocument/2006/relationships/hyperlink" Target="https://www.sportsoddshistory.com/soccer-team/?sa=soccer&amp;Team=Manchester+City" TargetMode="External"/><Relationship Id="rId59" Type="http://schemas.openxmlformats.org/officeDocument/2006/relationships/hyperlink" Target="https://www.sportsoddshistory.com/soccer-team/?sa=soccer&amp;Team=Southampton" TargetMode="External"/><Relationship Id="rId154" Type="http://schemas.openxmlformats.org/officeDocument/2006/relationships/hyperlink" Target="https://www.sportsoddshistory.com/soccer-main/?y=2020-2021&amp;sa=soccer&amp;a=epl&amp;b=two&amp;o=01" TargetMode="External"/><Relationship Id="rId58" Type="http://schemas.openxmlformats.org/officeDocument/2006/relationships/hyperlink" Target="https://www.sportsoddshistory.com/soccer-team/?sa=soccer&amp;Team=Ipswich+Town" TargetMode="External"/><Relationship Id="rId153" Type="http://schemas.openxmlformats.org/officeDocument/2006/relationships/hyperlink" Target="https://www.sportsoddshistory.com/soccer-main/?y=2020-2021&amp;sa=soccer&amp;a=epl&amp;b=two&amp;o=12" TargetMode="External"/><Relationship Id="rId152" Type="http://schemas.openxmlformats.org/officeDocument/2006/relationships/hyperlink" Target="https://www.sportsoddshistory.com/soccer-main/?y=2020-2021&amp;sa=soccer&amp;a=epl&amp;b=two&amp;o=11" TargetMode="External"/><Relationship Id="rId151" Type="http://schemas.openxmlformats.org/officeDocument/2006/relationships/hyperlink" Target="https://www.sportsoddshistory.com/soccer-main/?y=2020-2021&amp;sa=soccer&amp;a=epl&amp;b=two&amp;o=10" TargetMode="External"/><Relationship Id="rId158" Type="http://schemas.openxmlformats.org/officeDocument/2006/relationships/hyperlink" Target="https://www.sportsoddshistory.com/soccer-main/?y=2020-2021&amp;sa=soccer&amp;a=epl&amp;b=two&amp;o=05" TargetMode="External"/><Relationship Id="rId157" Type="http://schemas.openxmlformats.org/officeDocument/2006/relationships/hyperlink" Target="https://www.sportsoddshistory.com/soccer-main/?y=2020-2021&amp;sa=soccer&amp;a=epl&amp;b=two&amp;o=04" TargetMode="External"/><Relationship Id="rId156" Type="http://schemas.openxmlformats.org/officeDocument/2006/relationships/hyperlink" Target="https://www.sportsoddshistory.com/soccer-main/?y=2020-2021&amp;sa=soccer&amp;a=epl&amp;b=two&amp;o=03" TargetMode="External"/><Relationship Id="rId155" Type="http://schemas.openxmlformats.org/officeDocument/2006/relationships/hyperlink" Target="https://www.sportsoddshistory.com/soccer-main/?y=2020-2021&amp;sa=soccer&amp;a=epl&amp;b=two&amp;o=0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oddshistory.com/soccer-team/?sa=soccer&amp;Team=Leicester+City" TargetMode="External"/><Relationship Id="rId190" Type="http://schemas.openxmlformats.org/officeDocument/2006/relationships/hyperlink" Target="https://www.sportsoddshistory.com/soccer-team/?sa=soccer&amp;Team=Manchester+United" TargetMode="External"/><Relationship Id="rId42" Type="http://schemas.openxmlformats.org/officeDocument/2006/relationships/hyperlink" Target="https://www.sportsoddshistory.com/soccer-team/?sa=soccer&amp;Team=Southampton" TargetMode="External"/><Relationship Id="rId41" Type="http://schemas.openxmlformats.org/officeDocument/2006/relationships/hyperlink" Target="https://www.sportsoddshistory.com/soccer-team/?sa=soccer&amp;Team=Ipswich+Town" TargetMode="External"/><Relationship Id="rId44" Type="http://schemas.openxmlformats.org/officeDocument/2006/relationships/hyperlink" Target="https://www.sportsoddshistory.com/soccer-team/?sa=soccer&amp;Team=Wolverhampton" TargetMode="External"/><Relationship Id="rId194" Type="http://schemas.openxmlformats.org/officeDocument/2006/relationships/hyperlink" Target="https://www.sportsoddshistory.com/soccer-main/?y=2018-2019&amp;sa=soccer&amp;a=epl&amp;b=rel&amp;o=p1" TargetMode="External"/><Relationship Id="rId43" Type="http://schemas.openxmlformats.org/officeDocument/2006/relationships/hyperlink" Target="https://www.sportsoddshistory.com/soccer-team/?sa=soccer&amp;Team=Manchester+City" TargetMode="External"/><Relationship Id="rId193" Type="http://schemas.openxmlformats.org/officeDocument/2006/relationships/hyperlink" Target="https://www.sportsoddshistory.com/soccer-team/?sa=soccer&amp;Team=Manchester+City" TargetMode="External"/><Relationship Id="rId46" Type="http://schemas.openxmlformats.org/officeDocument/2006/relationships/hyperlink" Target="https://www.sportsoddshistory.com/soccer-team/?sa=soccer&amp;Team=West+Ham+United" TargetMode="External"/><Relationship Id="rId192" Type="http://schemas.openxmlformats.org/officeDocument/2006/relationships/hyperlink" Target="https://www.sportsoddshistory.com/soccer-team/?sa=soccer&amp;Team=Liverpool" TargetMode="External"/><Relationship Id="rId45" Type="http://schemas.openxmlformats.org/officeDocument/2006/relationships/hyperlink" Target="https://www.sportsoddshistory.com/soccer-team/?sa=soccer&amp;Team=Everton" TargetMode="External"/><Relationship Id="rId191" Type="http://schemas.openxmlformats.org/officeDocument/2006/relationships/hyperlink" Target="https://www.sportsoddshistory.com/soccer-team/?sa=soccer&amp;Team=Leicester+City" TargetMode="External"/><Relationship Id="rId48" Type="http://schemas.openxmlformats.org/officeDocument/2006/relationships/hyperlink" Target="https://www.sportsoddshistory.com/soccer-team/?sa=soccer&amp;Team=Tottenham+Hotspur" TargetMode="External"/><Relationship Id="rId187" Type="http://schemas.openxmlformats.org/officeDocument/2006/relationships/hyperlink" Target="https://www.sportsoddshistory.com/soccer-team/?sa=soccer&amp;Team=Arsenal" TargetMode="External"/><Relationship Id="rId47" Type="http://schemas.openxmlformats.org/officeDocument/2006/relationships/hyperlink" Target="https://www.sportsoddshistory.com/soccer-team/?sa=soccer&amp;Team=Manchester+United" TargetMode="External"/><Relationship Id="rId186" Type="http://schemas.openxmlformats.org/officeDocument/2006/relationships/hyperlink" Target="https://www.sportsoddshistory.com/soccer-team/?sa=soccer&amp;Team=Everton" TargetMode="External"/><Relationship Id="rId185" Type="http://schemas.openxmlformats.org/officeDocument/2006/relationships/hyperlink" Target="https://www.sportsoddshistory.com/soccer-team/?sa=soccer&amp;Team=Wolverhampton" TargetMode="External"/><Relationship Id="rId49" Type="http://schemas.openxmlformats.org/officeDocument/2006/relationships/hyperlink" Target="https://www.sportsoddshistory.com/soccer-team/?sa=soccer&amp;Team=Crystal+Palace" TargetMode="External"/><Relationship Id="rId184" Type="http://schemas.openxmlformats.org/officeDocument/2006/relationships/hyperlink" Target="https://www.sportsoddshistory.com/soccer-team/?sa=soccer&amp;Team=Sheffield+United" TargetMode="External"/><Relationship Id="rId189" Type="http://schemas.openxmlformats.org/officeDocument/2006/relationships/hyperlink" Target="https://www.sportsoddshistory.com/soccer-team/?sa=soccer&amp;Team=Chelsea" TargetMode="External"/><Relationship Id="rId188" Type="http://schemas.openxmlformats.org/officeDocument/2006/relationships/hyperlink" Target="https://www.sportsoddshistory.com/soccer-team/?sa=soccer&amp;Team=Tottenham+Hotspur" TargetMode="External"/><Relationship Id="rId31" Type="http://schemas.openxmlformats.org/officeDocument/2006/relationships/hyperlink" Target="https://www.sportsoddshistory.com/soccer-main/?y=2024-2025&amp;sa=soccer&amp;a=epl&amp;b=rel&amp;o=p2" TargetMode="External"/><Relationship Id="rId30" Type="http://schemas.openxmlformats.org/officeDocument/2006/relationships/hyperlink" Target="https://www.sportsoddshistory.com/soccer-main/?y=2024-2025&amp;sa=soccer&amp;a=epl&amp;b=rel&amp;o=p1" TargetMode="External"/><Relationship Id="rId33" Type="http://schemas.openxmlformats.org/officeDocument/2006/relationships/hyperlink" Target="https://www.sportsoddshistory.com/soccer-main/?y=2024-2025&amp;sa=soccer&amp;a=epl&amp;b=rel&amp;o=11" TargetMode="External"/><Relationship Id="rId183" Type="http://schemas.openxmlformats.org/officeDocument/2006/relationships/hyperlink" Target="https://www.sportsoddshistory.com/soccer-team/?sa=soccer&amp;Team=Burnley" TargetMode="External"/><Relationship Id="rId32" Type="http://schemas.openxmlformats.org/officeDocument/2006/relationships/hyperlink" Target="https://www.sportsoddshistory.com/soccer-main/?y=2024-2025&amp;sa=soccer&amp;a=epl&amp;b=rel&amp;o=10" TargetMode="External"/><Relationship Id="rId182" Type="http://schemas.openxmlformats.org/officeDocument/2006/relationships/hyperlink" Target="https://www.sportsoddshistory.com/soccer-team/?sa=soccer&amp;Team=Southampton" TargetMode="External"/><Relationship Id="rId35" Type="http://schemas.openxmlformats.org/officeDocument/2006/relationships/hyperlink" Target="https://www.sportsoddshistory.com/soccer-main/?y=2024-2025&amp;sa=soccer&amp;a=epl&amp;b=rel&amp;o=01" TargetMode="External"/><Relationship Id="rId181" Type="http://schemas.openxmlformats.org/officeDocument/2006/relationships/hyperlink" Target="https://www.sportsoddshistory.com/soccer-team/?sa=soccer&amp;Team=Crystal+Palace" TargetMode="External"/><Relationship Id="rId34" Type="http://schemas.openxmlformats.org/officeDocument/2006/relationships/hyperlink" Target="https://www.sportsoddshistory.com/soccer-main/?y=2024-2025&amp;sa=soccer&amp;a=epl&amp;b=rel&amp;o=12" TargetMode="External"/><Relationship Id="rId180" Type="http://schemas.openxmlformats.org/officeDocument/2006/relationships/hyperlink" Target="https://www.sportsoddshistory.com/soccer-team/?sa=soccer&amp;Team=Newcastle+United" TargetMode="External"/><Relationship Id="rId37" Type="http://schemas.openxmlformats.org/officeDocument/2006/relationships/hyperlink" Target="https://www.sportsoddshistory.com/soccer-main/?y=2024-2025&amp;sa=soccer&amp;a=epl&amp;b=rel&amp;o=03" TargetMode="External"/><Relationship Id="rId176" Type="http://schemas.openxmlformats.org/officeDocument/2006/relationships/hyperlink" Target="https://www.sportsoddshistory.com/soccer-team/?sa=soccer&amp;Team=Watford" TargetMode="External"/><Relationship Id="rId297" Type="http://schemas.openxmlformats.org/officeDocument/2006/relationships/hyperlink" Target="https://www.sportsoddshistory.com/soccer-team/?sa=soccer&amp;Team=Sunderland" TargetMode="External"/><Relationship Id="rId36" Type="http://schemas.openxmlformats.org/officeDocument/2006/relationships/hyperlink" Target="https://www.sportsoddshistory.com/soccer-main/?y=2024-2025&amp;sa=soccer&amp;a=epl&amp;b=rel&amp;o=02" TargetMode="External"/><Relationship Id="rId175" Type="http://schemas.openxmlformats.org/officeDocument/2006/relationships/hyperlink" Target="https://www.sportsoddshistory.com/soccer-team/?sa=soccer&amp;Team=Bournemouth" TargetMode="External"/><Relationship Id="rId296" Type="http://schemas.openxmlformats.org/officeDocument/2006/relationships/hyperlink" Target="https://www.sportsoddshistory.com/soccer-team/?sa=soccer&amp;Team=Aston+Villa" TargetMode="External"/><Relationship Id="rId39" Type="http://schemas.openxmlformats.org/officeDocument/2006/relationships/hyperlink" Target="https://www.sportsoddshistory.com/soccer-main/?y=2024-2025&amp;sa=soccer&amp;a=epl&amp;b=rel&amp;o=05" TargetMode="External"/><Relationship Id="rId174" Type="http://schemas.openxmlformats.org/officeDocument/2006/relationships/hyperlink" Target="https://www.sportsoddshistory.com/soccer-team/?sa=soccer&amp;Team=Norwich+City" TargetMode="External"/><Relationship Id="rId295" Type="http://schemas.openxmlformats.org/officeDocument/2006/relationships/hyperlink" Target="https://www.sportsoddshistory.com/soccer-team/?sa=soccer&amp;Team=Norwich+City" TargetMode="External"/><Relationship Id="rId38" Type="http://schemas.openxmlformats.org/officeDocument/2006/relationships/hyperlink" Target="https://www.sportsoddshistory.com/soccer-main/?y=2024-2025&amp;sa=soccer&amp;a=epl&amp;b=rel&amp;o=04" TargetMode="External"/><Relationship Id="rId173" Type="http://schemas.openxmlformats.org/officeDocument/2006/relationships/hyperlink" Target="https://www.sportsoddshistory.com/soccer-main/?y=2019-2020&amp;sa=soccer&amp;a=epl&amp;b=rel&amp;o=05" TargetMode="External"/><Relationship Id="rId294" Type="http://schemas.openxmlformats.org/officeDocument/2006/relationships/hyperlink" Target="https://www.sportsoddshistory.com/soccer-team/?sa=soccer&amp;Team=Newcastle+United" TargetMode="External"/><Relationship Id="rId179" Type="http://schemas.openxmlformats.org/officeDocument/2006/relationships/hyperlink" Target="https://www.sportsoddshistory.com/soccer-team/?sa=soccer&amp;Team=Brighton" TargetMode="External"/><Relationship Id="rId178" Type="http://schemas.openxmlformats.org/officeDocument/2006/relationships/hyperlink" Target="https://www.sportsoddshistory.com/soccer-team/?sa=soccer&amp;Team=West+Ham+United" TargetMode="External"/><Relationship Id="rId299" Type="http://schemas.openxmlformats.org/officeDocument/2006/relationships/hyperlink" Target="https://www.sportsoddshistory.com/soccer-team/?sa=soccer&amp;Team=Swansea+City" TargetMode="External"/><Relationship Id="rId177" Type="http://schemas.openxmlformats.org/officeDocument/2006/relationships/hyperlink" Target="https://www.sportsoddshistory.com/soccer-team/?sa=soccer&amp;Team=Aston+Villa" TargetMode="External"/><Relationship Id="rId298" Type="http://schemas.openxmlformats.org/officeDocument/2006/relationships/hyperlink" Target="https://www.sportsoddshistory.com/soccer-team/?sa=soccer&amp;Team=Crystal+Palace" TargetMode="External"/><Relationship Id="rId20" Type="http://schemas.openxmlformats.org/officeDocument/2006/relationships/hyperlink" Target="https://www.sportsoddshistory.com/soccer-team/?sa=soccer&amp;Team=Brighton" TargetMode="External"/><Relationship Id="rId22" Type="http://schemas.openxmlformats.org/officeDocument/2006/relationships/hyperlink" Target="https://www.sportsoddshistory.com/soccer-team/?sa=soccer&amp;Team=Aston+Villa" TargetMode="External"/><Relationship Id="rId21" Type="http://schemas.openxmlformats.org/officeDocument/2006/relationships/hyperlink" Target="https://www.sportsoddshistory.com/soccer-team/?sa=soccer&amp;Team=Crystal+Palace" TargetMode="External"/><Relationship Id="rId24" Type="http://schemas.openxmlformats.org/officeDocument/2006/relationships/hyperlink" Target="https://www.sportsoddshistory.com/soccer-team/?sa=soccer&amp;Team=Bournemouth" TargetMode="External"/><Relationship Id="rId23" Type="http://schemas.openxmlformats.org/officeDocument/2006/relationships/hyperlink" Target="https://www.sportsoddshistory.com/soccer-team/?sa=soccer&amp;Team=Manchester+United" TargetMode="External"/><Relationship Id="rId26" Type="http://schemas.openxmlformats.org/officeDocument/2006/relationships/hyperlink" Target="https://www.sportsoddshistory.com/soccer-team/?sa=soccer&amp;Team=Tottenham+Hotspur" TargetMode="External"/><Relationship Id="rId25" Type="http://schemas.openxmlformats.org/officeDocument/2006/relationships/hyperlink" Target="https://www.sportsoddshistory.com/soccer-team/?sa=soccer&amp;Team=Chelsea" TargetMode="External"/><Relationship Id="rId28" Type="http://schemas.openxmlformats.org/officeDocument/2006/relationships/hyperlink" Target="https://www.sportsoddshistory.com/soccer-team/?sa=soccer&amp;Team=Liverpool" TargetMode="External"/><Relationship Id="rId27" Type="http://schemas.openxmlformats.org/officeDocument/2006/relationships/hyperlink" Target="https://www.sportsoddshistory.com/soccer-team/?sa=soccer&amp;Team=Newcastle+United" TargetMode="External"/><Relationship Id="rId29" Type="http://schemas.openxmlformats.org/officeDocument/2006/relationships/hyperlink" Target="https://www.sportsoddshistory.com/soccer-team/?sa=soccer&amp;Team=Arsenal" TargetMode="External"/><Relationship Id="rId11" Type="http://schemas.openxmlformats.org/officeDocument/2006/relationships/hyperlink" Target="https://www.sportsoddshistory.com/soccer-team/?sa=soccer&amp;Team=Burnley" TargetMode="External"/><Relationship Id="rId10" Type="http://schemas.openxmlformats.org/officeDocument/2006/relationships/hyperlink" Target="https://www.sportsoddshistory.com/soccer-team/?sa=soccer&amp;Team=Wolverhampton" TargetMode="External"/><Relationship Id="rId13" Type="http://schemas.openxmlformats.org/officeDocument/2006/relationships/hyperlink" Target="https://www.sportsoddshistory.com/soccer-team/?sa=soccer&amp;Team=Nottingham+Forest" TargetMode="External"/><Relationship Id="rId12" Type="http://schemas.openxmlformats.org/officeDocument/2006/relationships/hyperlink" Target="https://www.sportsoddshistory.com/soccer-team/?sa=soccer&amp;Team=West+Ham+United" TargetMode="External"/><Relationship Id="rId15" Type="http://schemas.openxmlformats.org/officeDocument/2006/relationships/hyperlink" Target="https://www.sportsoddshistory.com/soccer-team/?sa=soccer&amp;Team=Fulham" TargetMode="External"/><Relationship Id="rId198" Type="http://schemas.openxmlformats.org/officeDocument/2006/relationships/hyperlink" Target="https://www.sportsoddshistory.com/soccer-main/?y=2018-2019&amp;sa=soccer&amp;a=epl&amp;b=rel&amp;o=12" TargetMode="External"/><Relationship Id="rId14" Type="http://schemas.openxmlformats.org/officeDocument/2006/relationships/hyperlink" Target="https://www.sportsoddshistory.com/soccer-team/?sa=soccer&amp;Team=Leeds+United" TargetMode="External"/><Relationship Id="rId197" Type="http://schemas.openxmlformats.org/officeDocument/2006/relationships/hyperlink" Target="https://www.sportsoddshistory.com/soccer-main/?y=2018-2019&amp;sa=soccer&amp;a=epl&amp;b=rel&amp;o=11" TargetMode="External"/><Relationship Id="rId17" Type="http://schemas.openxmlformats.org/officeDocument/2006/relationships/hyperlink" Target="https://www.sportsoddshistory.com/soccer-team/?sa=soccer&amp;Team=Everton" TargetMode="External"/><Relationship Id="rId196" Type="http://schemas.openxmlformats.org/officeDocument/2006/relationships/hyperlink" Target="https://www.sportsoddshistory.com/soccer-main/?y=2018-2019&amp;sa=soccer&amp;a=epl&amp;b=rel&amp;o=10" TargetMode="External"/><Relationship Id="rId16" Type="http://schemas.openxmlformats.org/officeDocument/2006/relationships/hyperlink" Target="https://www.sportsoddshistory.com/soccer-team/?sa=soccer&amp;Team=Sunderland" TargetMode="External"/><Relationship Id="rId195" Type="http://schemas.openxmlformats.org/officeDocument/2006/relationships/hyperlink" Target="https://www.sportsoddshistory.com/soccer-main/?y=2018-2019&amp;sa=soccer&amp;a=epl&amp;b=rel&amp;o=p2" TargetMode="External"/><Relationship Id="rId19" Type="http://schemas.openxmlformats.org/officeDocument/2006/relationships/hyperlink" Target="https://www.sportsoddshistory.com/soccer-team/?sa=soccer&amp;Team=Manchester+City" TargetMode="External"/><Relationship Id="rId18" Type="http://schemas.openxmlformats.org/officeDocument/2006/relationships/hyperlink" Target="https://www.sportsoddshistory.com/soccer-team/?sa=soccer&amp;Team=Brentford" TargetMode="External"/><Relationship Id="rId199" Type="http://schemas.openxmlformats.org/officeDocument/2006/relationships/hyperlink" Target="https://www.sportsoddshistory.com/soccer-main/?y=2018-2019&amp;sa=soccer&amp;a=epl&amp;b=rel&amp;o=01" TargetMode="External"/><Relationship Id="rId84" Type="http://schemas.openxmlformats.org/officeDocument/2006/relationships/hyperlink" Target="https://www.sportsoddshistory.com/soccer-team/?sa=soccer&amp;Team=Chelsea" TargetMode="External"/><Relationship Id="rId83" Type="http://schemas.openxmlformats.org/officeDocument/2006/relationships/hyperlink" Target="https://www.sportsoddshistory.com/soccer-team/?sa=soccer&amp;Team=Tottenham+Hotspur" TargetMode="External"/><Relationship Id="rId86" Type="http://schemas.openxmlformats.org/officeDocument/2006/relationships/hyperlink" Target="https://www.sportsoddshistory.com/soccer-team/?sa=soccer&amp;Team=Arsenal" TargetMode="External"/><Relationship Id="rId85" Type="http://schemas.openxmlformats.org/officeDocument/2006/relationships/hyperlink" Target="https://www.sportsoddshistory.com/soccer-team/?sa=soccer&amp;Team=Newcastle+United" TargetMode="External"/><Relationship Id="rId88" Type="http://schemas.openxmlformats.org/officeDocument/2006/relationships/hyperlink" Target="https://www.sportsoddshistory.com/soccer-team/?sa=soccer&amp;Team=Manchester+City" TargetMode="External"/><Relationship Id="rId150" Type="http://schemas.openxmlformats.org/officeDocument/2006/relationships/hyperlink" Target="https://www.sportsoddshistory.com/soccer-team/?sa=soccer&amp;Team=Fulham" TargetMode="External"/><Relationship Id="rId271" Type="http://schemas.openxmlformats.org/officeDocument/2006/relationships/hyperlink" Target="https://www.sportsoddshistory.com/soccer-team/?sa=soccer&amp;Team=Watford" TargetMode="External"/><Relationship Id="rId87" Type="http://schemas.openxmlformats.org/officeDocument/2006/relationships/hyperlink" Target="https://www.sportsoddshistory.com/soccer-team/?sa=soccer&amp;Team=Liverpool" TargetMode="External"/><Relationship Id="rId270" Type="http://schemas.openxmlformats.org/officeDocument/2006/relationships/hyperlink" Target="https://www.sportsoddshistory.com/soccer-team/?sa=soccer&amp;Team=Burnley" TargetMode="External"/><Relationship Id="rId89" Type="http://schemas.openxmlformats.org/officeDocument/2006/relationships/hyperlink" Target="https://www.sportsoddshistory.com/soccer-team/?sa=soccer&amp;Team=Manchester+United" TargetMode="External"/><Relationship Id="rId80" Type="http://schemas.openxmlformats.org/officeDocument/2006/relationships/hyperlink" Target="https://www.sportsoddshistory.com/soccer-team/?sa=soccer&amp;Team=West+Ham+United" TargetMode="External"/><Relationship Id="rId82" Type="http://schemas.openxmlformats.org/officeDocument/2006/relationships/hyperlink" Target="https://www.sportsoddshistory.com/soccer-team/?sa=soccer&amp;Team=Brighton" TargetMode="External"/><Relationship Id="rId81" Type="http://schemas.openxmlformats.org/officeDocument/2006/relationships/hyperlink" Target="https://www.sportsoddshistory.com/soccer-team/?sa=soccer&amp;Team=Aston+Villa" TargetMode="External"/><Relationship Id="rId1" Type="http://schemas.openxmlformats.org/officeDocument/2006/relationships/hyperlink" Target="https://www.sportsoddshistory.com/soccer-main/?y=2025-2026&amp;sa=soccer&amp;a=epl&amp;b=rel&amp;o=p1" TargetMode="External"/><Relationship Id="rId2" Type="http://schemas.openxmlformats.org/officeDocument/2006/relationships/hyperlink" Target="https://www.sportsoddshistory.com/soccer-main/?y=2025-2026&amp;sa=soccer&amp;a=epl&amp;b=rel&amp;o=10" TargetMode="External"/><Relationship Id="rId3" Type="http://schemas.openxmlformats.org/officeDocument/2006/relationships/hyperlink" Target="https://www.sportsoddshistory.com/soccer-main/?y=2025-2026&amp;sa=soccer&amp;a=epl&amp;b=rel&amp;o=11" TargetMode="External"/><Relationship Id="rId149" Type="http://schemas.openxmlformats.org/officeDocument/2006/relationships/hyperlink" Target="https://www.sportsoddshistory.com/soccer-main/?y=2020-2021&amp;sa=soccer&amp;a=epl&amp;b=rel&amp;o=05" TargetMode="External"/><Relationship Id="rId4" Type="http://schemas.openxmlformats.org/officeDocument/2006/relationships/hyperlink" Target="https://www.sportsoddshistory.com/soccer-main/?y=2025-2026&amp;sa=soccer&amp;a=epl&amp;b=rel&amp;o=12" TargetMode="External"/><Relationship Id="rId148" Type="http://schemas.openxmlformats.org/officeDocument/2006/relationships/hyperlink" Target="https://www.sportsoddshistory.com/soccer-main/?y=2020-2021&amp;sa=soccer&amp;a=epl&amp;b=rel&amp;o=04" TargetMode="External"/><Relationship Id="rId269" Type="http://schemas.openxmlformats.org/officeDocument/2006/relationships/hyperlink" Target="https://www.sportsoddshistory.com/soccer-team/?sa=soccer&amp;Team=West+Ham+United" TargetMode="External"/><Relationship Id="rId9" Type="http://schemas.openxmlformats.org/officeDocument/2006/relationships/hyperlink" Target="https://www.sportsoddshistory.com/soccer-main/?y=2025-2026&amp;sa=soccer&amp;a=epl&amp;b=rel&amp;o=05" TargetMode="External"/><Relationship Id="rId143" Type="http://schemas.openxmlformats.org/officeDocument/2006/relationships/hyperlink" Target="https://www.sportsoddshistory.com/soccer-main/?y=2020-2021&amp;sa=soccer&amp;a=epl&amp;b=rel&amp;o=11" TargetMode="External"/><Relationship Id="rId264" Type="http://schemas.openxmlformats.org/officeDocument/2006/relationships/hyperlink" Target="https://www.sportsoddshistory.com/soccer-team/?sa=soccer&amp;Team=Middlesbrough" TargetMode="External"/><Relationship Id="rId142" Type="http://schemas.openxmlformats.org/officeDocument/2006/relationships/hyperlink" Target="https://www.sportsoddshistory.com/soccer-main/?y=2020-2021&amp;sa=soccer&amp;a=epl&amp;b=rel&amp;o=10" TargetMode="External"/><Relationship Id="rId263" Type="http://schemas.openxmlformats.org/officeDocument/2006/relationships/hyperlink" Target="https://www.sportsoddshistory.com/soccer-main/?y=2016-2017&amp;sa=soccer&amp;a=epl&amp;b=rel&amp;o=05" TargetMode="External"/><Relationship Id="rId141" Type="http://schemas.openxmlformats.org/officeDocument/2006/relationships/hyperlink" Target="https://www.sportsoddshistory.com/soccer-main/?y=2020-2021&amp;sa=soccer&amp;a=epl&amp;b=rel&amp;o=p1" TargetMode="External"/><Relationship Id="rId262" Type="http://schemas.openxmlformats.org/officeDocument/2006/relationships/hyperlink" Target="https://www.sportsoddshistory.com/soccer-main/?y=2016-2017&amp;sa=soccer&amp;a=epl&amp;b=rel&amp;o=04" TargetMode="External"/><Relationship Id="rId140" Type="http://schemas.openxmlformats.org/officeDocument/2006/relationships/hyperlink" Target="https://www.sportsoddshistory.com/soccer-team/?sa=soccer&amp;Team=West+Ham+United" TargetMode="External"/><Relationship Id="rId261" Type="http://schemas.openxmlformats.org/officeDocument/2006/relationships/hyperlink" Target="https://www.sportsoddshistory.com/soccer-main/?y=2016-2017&amp;sa=soccer&amp;a=epl&amp;b=rel&amp;o=03" TargetMode="External"/><Relationship Id="rId5" Type="http://schemas.openxmlformats.org/officeDocument/2006/relationships/hyperlink" Target="https://www.sportsoddshistory.com/soccer-main/?y=2025-2026&amp;sa=soccer&amp;a=epl&amp;b=rel&amp;o=01" TargetMode="External"/><Relationship Id="rId147" Type="http://schemas.openxmlformats.org/officeDocument/2006/relationships/hyperlink" Target="https://www.sportsoddshistory.com/soccer-main/?y=2020-2021&amp;sa=soccer&amp;a=epl&amp;b=rel&amp;o=03" TargetMode="External"/><Relationship Id="rId268" Type="http://schemas.openxmlformats.org/officeDocument/2006/relationships/hyperlink" Target="https://www.sportsoddshistory.com/soccer-team/?sa=soccer&amp;Team=Crystal+Palace" TargetMode="External"/><Relationship Id="rId6" Type="http://schemas.openxmlformats.org/officeDocument/2006/relationships/hyperlink" Target="https://www.sportsoddshistory.com/soccer-main/?y=2025-2026&amp;sa=soccer&amp;a=epl&amp;b=rel&amp;o=02" TargetMode="External"/><Relationship Id="rId146" Type="http://schemas.openxmlformats.org/officeDocument/2006/relationships/hyperlink" Target="https://www.sportsoddshistory.com/soccer-main/?y=2020-2021&amp;sa=soccer&amp;a=epl&amp;b=rel&amp;o=02" TargetMode="External"/><Relationship Id="rId267" Type="http://schemas.openxmlformats.org/officeDocument/2006/relationships/hyperlink" Target="https://www.sportsoddshistory.com/soccer-team/?sa=soccer&amp;Team=Swansea+City" TargetMode="External"/><Relationship Id="rId7" Type="http://schemas.openxmlformats.org/officeDocument/2006/relationships/hyperlink" Target="https://www.sportsoddshistory.com/soccer-main/?y=2025-2026&amp;sa=soccer&amp;a=epl&amp;b=rel&amp;o=03" TargetMode="External"/><Relationship Id="rId145" Type="http://schemas.openxmlformats.org/officeDocument/2006/relationships/hyperlink" Target="https://www.sportsoddshistory.com/soccer-main/?y=2020-2021&amp;sa=soccer&amp;a=epl&amp;b=rel&amp;o=01" TargetMode="External"/><Relationship Id="rId266" Type="http://schemas.openxmlformats.org/officeDocument/2006/relationships/hyperlink" Target="https://www.sportsoddshistory.com/soccer-team/?sa=soccer&amp;Team=Sunderland" TargetMode="External"/><Relationship Id="rId8" Type="http://schemas.openxmlformats.org/officeDocument/2006/relationships/hyperlink" Target="https://www.sportsoddshistory.com/soccer-main/?y=2025-2026&amp;sa=soccer&amp;a=epl&amp;b=rel&amp;o=04" TargetMode="External"/><Relationship Id="rId144" Type="http://schemas.openxmlformats.org/officeDocument/2006/relationships/hyperlink" Target="https://www.sportsoddshistory.com/soccer-main/?y=2020-2021&amp;sa=soccer&amp;a=epl&amp;b=rel&amp;o=12" TargetMode="External"/><Relationship Id="rId265" Type="http://schemas.openxmlformats.org/officeDocument/2006/relationships/hyperlink" Target="https://www.sportsoddshistory.com/soccer-team/?sa=soccer&amp;Team=Hull+City" TargetMode="External"/><Relationship Id="rId73" Type="http://schemas.openxmlformats.org/officeDocument/2006/relationships/hyperlink" Target="https://www.sportsoddshistory.com/soccer-team/?sa=soccer&amp;Team=Nottingham+Forest" TargetMode="External"/><Relationship Id="rId72" Type="http://schemas.openxmlformats.org/officeDocument/2006/relationships/hyperlink" Target="https://www.sportsoddshistory.com/soccer-team/?sa=soccer&amp;Team=Sheffield+United" TargetMode="External"/><Relationship Id="rId75" Type="http://schemas.openxmlformats.org/officeDocument/2006/relationships/hyperlink" Target="https://www.sportsoddshistory.com/soccer-team/?sa=soccer&amp;Team=Brentford" TargetMode="External"/><Relationship Id="rId74" Type="http://schemas.openxmlformats.org/officeDocument/2006/relationships/hyperlink" Target="https://www.sportsoddshistory.com/soccer-team/?sa=soccer&amp;Team=Everton" TargetMode="External"/><Relationship Id="rId77" Type="http://schemas.openxmlformats.org/officeDocument/2006/relationships/hyperlink" Target="https://www.sportsoddshistory.com/soccer-team/?sa=soccer&amp;Team=Fulham" TargetMode="External"/><Relationship Id="rId260" Type="http://schemas.openxmlformats.org/officeDocument/2006/relationships/hyperlink" Target="https://www.sportsoddshistory.com/soccer-main/?y=2016-2017&amp;sa=soccer&amp;a=epl&amp;b=rel&amp;o=02" TargetMode="External"/><Relationship Id="rId76" Type="http://schemas.openxmlformats.org/officeDocument/2006/relationships/hyperlink" Target="https://www.sportsoddshistory.com/soccer-team/?sa=soccer&amp;Team=Crystal+Palace" TargetMode="External"/><Relationship Id="rId79" Type="http://schemas.openxmlformats.org/officeDocument/2006/relationships/hyperlink" Target="https://www.sportsoddshistory.com/soccer-team/?sa=soccer&amp;Team=Wolverhampton" TargetMode="External"/><Relationship Id="rId78" Type="http://schemas.openxmlformats.org/officeDocument/2006/relationships/hyperlink" Target="https://www.sportsoddshistory.com/soccer-team/?sa=soccer&amp;Team=Bournemouth" TargetMode="External"/><Relationship Id="rId71" Type="http://schemas.openxmlformats.org/officeDocument/2006/relationships/hyperlink" Target="https://www.sportsoddshistory.com/soccer-team/?sa=soccer&amp;Team=Luton+Town" TargetMode="External"/><Relationship Id="rId70" Type="http://schemas.openxmlformats.org/officeDocument/2006/relationships/hyperlink" Target="https://www.sportsoddshistory.com/soccer-team/?sa=soccer&amp;Team=Burnley" TargetMode="External"/><Relationship Id="rId139" Type="http://schemas.openxmlformats.org/officeDocument/2006/relationships/hyperlink" Target="https://www.sportsoddshistory.com/soccer-team/?sa=soccer&amp;Team=Manchester+United" TargetMode="External"/><Relationship Id="rId138" Type="http://schemas.openxmlformats.org/officeDocument/2006/relationships/hyperlink" Target="https://www.sportsoddshistory.com/soccer-team/?sa=soccer&amp;Team=Arsenal" TargetMode="External"/><Relationship Id="rId259" Type="http://schemas.openxmlformats.org/officeDocument/2006/relationships/hyperlink" Target="https://www.sportsoddshistory.com/soccer-main/?y=2016-2017&amp;sa=soccer&amp;a=epl&amp;b=rel&amp;o=01" TargetMode="External"/><Relationship Id="rId137" Type="http://schemas.openxmlformats.org/officeDocument/2006/relationships/hyperlink" Target="https://www.sportsoddshistory.com/soccer-team/?sa=soccer&amp;Team=Tottenham+Hotspur" TargetMode="External"/><Relationship Id="rId258" Type="http://schemas.openxmlformats.org/officeDocument/2006/relationships/hyperlink" Target="https://www.sportsoddshistory.com/soccer-main/?y=2016-2017&amp;sa=soccer&amp;a=epl&amp;b=rel&amp;o=12" TargetMode="External"/><Relationship Id="rId132" Type="http://schemas.openxmlformats.org/officeDocument/2006/relationships/hyperlink" Target="https://www.sportsoddshistory.com/soccer-team/?sa=soccer&amp;Team=Aston+Villa" TargetMode="External"/><Relationship Id="rId253" Type="http://schemas.openxmlformats.org/officeDocument/2006/relationships/hyperlink" Target="https://www.sportsoddshistory.com/soccer-team/?sa=soccer&amp;Team=Manchester+City" TargetMode="External"/><Relationship Id="rId131" Type="http://schemas.openxmlformats.org/officeDocument/2006/relationships/hyperlink" Target="https://www.sportsoddshistory.com/soccer-team/?sa=soccer&amp;Team=Crystal+Palace" TargetMode="External"/><Relationship Id="rId252" Type="http://schemas.openxmlformats.org/officeDocument/2006/relationships/hyperlink" Target="https://www.sportsoddshistory.com/soccer-team/?sa=soccer&amp;Team=Manchester+United" TargetMode="External"/><Relationship Id="rId130" Type="http://schemas.openxmlformats.org/officeDocument/2006/relationships/hyperlink" Target="https://www.sportsoddshistory.com/soccer-team/?sa=soccer&amp;Team=Newcastle+United" TargetMode="External"/><Relationship Id="rId251" Type="http://schemas.openxmlformats.org/officeDocument/2006/relationships/hyperlink" Target="https://www.sportsoddshistory.com/soccer-team/?sa=soccer&amp;Team=Chelsea" TargetMode="External"/><Relationship Id="rId250" Type="http://schemas.openxmlformats.org/officeDocument/2006/relationships/hyperlink" Target="https://www.sportsoddshistory.com/soccer-team/?sa=soccer&amp;Team=Liverpool" TargetMode="External"/><Relationship Id="rId136" Type="http://schemas.openxmlformats.org/officeDocument/2006/relationships/hyperlink" Target="https://www.sportsoddshistory.com/soccer-team/?sa=soccer&amp;Team=Wolverhampton" TargetMode="External"/><Relationship Id="rId257" Type="http://schemas.openxmlformats.org/officeDocument/2006/relationships/hyperlink" Target="https://www.sportsoddshistory.com/soccer-main/?y=2016-2017&amp;sa=soccer&amp;a=epl&amp;b=rel&amp;o=11" TargetMode="External"/><Relationship Id="rId135" Type="http://schemas.openxmlformats.org/officeDocument/2006/relationships/hyperlink" Target="https://www.sportsoddshistory.com/soccer-team/?sa=soccer&amp;Team=Brighton" TargetMode="External"/><Relationship Id="rId256" Type="http://schemas.openxmlformats.org/officeDocument/2006/relationships/hyperlink" Target="https://www.sportsoddshistory.com/soccer-main/?y=2016-2017&amp;sa=soccer&amp;a=epl&amp;b=rel&amp;o=10" TargetMode="External"/><Relationship Id="rId134" Type="http://schemas.openxmlformats.org/officeDocument/2006/relationships/hyperlink" Target="https://www.sportsoddshistory.com/soccer-team/?sa=soccer&amp;Team=Southampton" TargetMode="External"/><Relationship Id="rId255" Type="http://schemas.openxmlformats.org/officeDocument/2006/relationships/hyperlink" Target="https://www.sportsoddshistory.com/soccer-main/?y=2016-2017&amp;sa=soccer&amp;a=epl&amp;b=rel&amp;o=p2" TargetMode="External"/><Relationship Id="rId133" Type="http://schemas.openxmlformats.org/officeDocument/2006/relationships/hyperlink" Target="https://www.sportsoddshistory.com/soccer-team/?sa=soccer&amp;Team=Leicester+City" TargetMode="External"/><Relationship Id="rId254" Type="http://schemas.openxmlformats.org/officeDocument/2006/relationships/hyperlink" Target="https://www.sportsoddshistory.com/soccer-main/?y=2016-2017&amp;sa=soccer&amp;a=epl&amp;b=rel&amp;o=p1" TargetMode="External"/><Relationship Id="rId62" Type="http://schemas.openxmlformats.org/officeDocument/2006/relationships/hyperlink" Target="https://www.sportsoddshistory.com/soccer-main/?y=2023-2024&amp;sa=soccer&amp;a=epl&amp;b=rel&amp;o=10" TargetMode="External"/><Relationship Id="rId61" Type="http://schemas.openxmlformats.org/officeDocument/2006/relationships/hyperlink" Target="https://www.sportsoddshistory.com/soccer-main/?y=2023-2024&amp;sa=soccer&amp;a=epl&amp;b=rel&amp;o=p2" TargetMode="External"/><Relationship Id="rId64" Type="http://schemas.openxmlformats.org/officeDocument/2006/relationships/hyperlink" Target="https://www.sportsoddshistory.com/soccer-main/?y=2023-2024&amp;sa=soccer&amp;a=epl&amp;b=rel&amp;o=12" TargetMode="External"/><Relationship Id="rId63" Type="http://schemas.openxmlformats.org/officeDocument/2006/relationships/hyperlink" Target="https://www.sportsoddshistory.com/soccer-main/?y=2023-2024&amp;sa=soccer&amp;a=epl&amp;b=rel&amp;o=11" TargetMode="External"/><Relationship Id="rId66" Type="http://schemas.openxmlformats.org/officeDocument/2006/relationships/hyperlink" Target="https://www.sportsoddshistory.com/soccer-main/?y=2023-2024&amp;sa=soccer&amp;a=epl&amp;b=rel&amp;o=02" TargetMode="External"/><Relationship Id="rId172" Type="http://schemas.openxmlformats.org/officeDocument/2006/relationships/hyperlink" Target="https://www.sportsoddshistory.com/soccer-main/?y=2019-2020&amp;sa=soccer&amp;a=epl&amp;b=rel&amp;o=04" TargetMode="External"/><Relationship Id="rId293" Type="http://schemas.openxmlformats.org/officeDocument/2006/relationships/hyperlink" Target="https://www.sportsoddshistory.com/soccer-main/?y=2015-2016&amp;sa=soccer&amp;a=epl&amp;b=rel&amp;o=05" TargetMode="External"/><Relationship Id="rId65" Type="http://schemas.openxmlformats.org/officeDocument/2006/relationships/hyperlink" Target="https://www.sportsoddshistory.com/soccer-main/?y=2023-2024&amp;sa=soccer&amp;a=epl&amp;b=rel&amp;o=01" TargetMode="External"/><Relationship Id="rId171" Type="http://schemas.openxmlformats.org/officeDocument/2006/relationships/hyperlink" Target="https://www.sportsoddshistory.com/soccer-main/?y=2019-2020&amp;sa=soccer&amp;a=epl&amp;b=rel&amp;o=03" TargetMode="External"/><Relationship Id="rId292" Type="http://schemas.openxmlformats.org/officeDocument/2006/relationships/hyperlink" Target="https://www.sportsoddshistory.com/soccer-main/?y=2015-2016&amp;sa=soccer&amp;a=epl&amp;b=rel&amp;o=04" TargetMode="External"/><Relationship Id="rId68" Type="http://schemas.openxmlformats.org/officeDocument/2006/relationships/hyperlink" Target="https://www.sportsoddshistory.com/soccer-main/?y=2023-2024&amp;sa=soccer&amp;a=epl&amp;b=rel&amp;o=04" TargetMode="External"/><Relationship Id="rId170" Type="http://schemas.openxmlformats.org/officeDocument/2006/relationships/hyperlink" Target="https://www.sportsoddshistory.com/soccer-main/?y=2019-2020&amp;sa=soccer&amp;a=epl&amp;b=rel&amp;o=02" TargetMode="External"/><Relationship Id="rId291" Type="http://schemas.openxmlformats.org/officeDocument/2006/relationships/hyperlink" Target="https://www.sportsoddshistory.com/soccer-main/?y=2015-2016&amp;sa=soccer&amp;a=epl&amp;b=rel&amp;o=03" TargetMode="External"/><Relationship Id="rId67" Type="http://schemas.openxmlformats.org/officeDocument/2006/relationships/hyperlink" Target="https://www.sportsoddshistory.com/soccer-main/?y=2023-2024&amp;sa=soccer&amp;a=epl&amp;b=rel&amp;o=03" TargetMode="External"/><Relationship Id="rId290" Type="http://schemas.openxmlformats.org/officeDocument/2006/relationships/hyperlink" Target="https://www.sportsoddshistory.com/soccer-main/?y=2015-2016&amp;sa=soccer&amp;a=epl&amp;b=rel&amp;o=02" TargetMode="External"/><Relationship Id="rId60" Type="http://schemas.openxmlformats.org/officeDocument/2006/relationships/hyperlink" Target="https://www.sportsoddshistory.com/soccer-main/?y=2023-2024&amp;sa=soccer&amp;a=epl&amp;b=rel&amp;o=p1" TargetMode="External"/><Relationship Id="rId165" Type="http://schemas.openxmlformats.org/officeDocument/2006/relationships/hyperlink" Target="https://www.sportsoddshistory.com/soccer-main/?y=2019-2020&amp;sa=soccer&amp;a=epl&amp;b=rel&amp;o=p2" TargetMode="External"/><Relationship Id="rId286" Type="http://schemas.openxmlformats.org/officeDocument/2006/relationships/hyperlink" Target="https://www.sportsoddshistory.com/soccer-main/?y=2015-2016&amp;sa=soccer&amp;a=epl&amp;b=rel&amp;o=10" TargetMode="External"/><Relationship Id="rId69" Type="http://schemas.openxmlformats.org/officeDocument/2006/relationships/hyperlink" Target="https://www.sportsoddshistory.com/soccer-main/?y=2023-2024&amp;sa=soccer&amp;a=epl&amp;b=rel&amp;o=05" TargetMode="External"/><Relationship Id="rId164" Type="http://schemas.openxmlformats.org/officeDocument/2006/relationships/hyperlink" Target="https://www.sportsoddshistory.com/soccer-main/?y=2019-2020&amp;sa=soccer&amp;a=epl&amp;b=rel&amp;o=p1" TargetMode="External"/><Relationship Id="rId285" Type="http://schemas.openxmlformats.org/officeDocument/2006/relationships/hyperlink" Target="https://www.sportsoddshistory.com/soccer-main/?y=2015-2016&amp;sa=soccer&amp;a=epl&amp;b=rel&amp;o=p2" TargetMode="External"/><Relationship Id="rId163" Type="http://schemas.openxmlformats.org/officeDocument/2006/relationships/hyperlink" Target="https://www.sportsoddshistory.com/soccer-team/?sa=soccer&amp;Team=Leicester+City" TargetMode="External"/><Relationship Id="rId284" Type="http://schemas.openxmlformats.org/officeDocument/2006/relationships/hyperlink" Target="https://www.sportsoddshistory.com/soccer-main/?y=2015-2016&amp;sa=soccer&amp;a=epl&amp;b=rel&amp;o=p1" TargetMode="External"/><Relationship Id="rId162" Type="http://schemas.openxmlformats.org/officeDocument/2006/relationships/hyperlink" Target="https://www.sportsoddshistory.com/soccer-team/?sa=soccer&amp;Team=Everton" TargetMode="External"/><Relationship Id="rId283" Type="http://schemas.openxmlformats.org/officeDocument/2006/relationships/hyperlink" Target="https://www.sportsoddshistory.com/soccer-team/?sa=soccer&amp;Team=Manchester+City" TargetMode="External"/><Relationship Id="rId169" Type="http://schemas.openxmlformats.org/officeDocument/2006/relationships/hyperlink" Target="https://www.sportsoddshistory.com/soccer-main/?y=2019-2020&amp;sa=soccer&amp;a=epl&amp;b=rel&amp;o=01" TargetMode="External"/><Relationship Id="rId168" Type="http://schemas.openxmlformats.org/officeDocument/2006/relationships/hyperlink" Target="https://www.sportsoddshistory.com/soccer-main/?y=2019-2020&amp;sa=soccer&amp;a=epl&amp;b=rel&amp;o=12" TargetMode="External"/><Relationship Id="rId289" Type="http://schemas.openxmlformats.org/officeDocument/2006/relationships/hyperlink" Target="https://www.sportsoddshistory.com/soccer-main/?y=2015-2016&amp;sa=soccer&amp;a=epl&amp;b=rel&amp;o=01" TargetMode="External"/><Relationship Id="rId167" Type="http://schemas.openxmlformats.org/officeDocument/2006/relationships/hyperlink" Target="https://www.sportsoddshistory.com/soccer-main/?y=2019-2020&amp;sa=soccer&amp;a=epl&amp;b=rel&amp;o=11" TargetMode="External"/><Relationship Id="rId288" Type="http://schemas.openxmlformats.org/officeDocument/2006/relationships/hyperlink" Target="https://www.sportsoddshistory.com/soccer-main/?y=2015-2016&amp;sa=soccer&amp;a=epl&amp;b=rel&amp;o=12" TargetMode="External"/><Relationship Id="rId166" Type="http://schemas.openxmlformats.org/officeDocument/2006/relationships/hyperlink" Target="https://www.sportsoddshistory.com/soccer-main/?y=2019-2020&amp;sa=soccer&amp;a=epl&amp;b=rel&amp;o=10" TargetMode="External"/><Relationship Id="rId287" Type="http://schemas.openxmlformats.org/officeDocument/2006/relationships/hyperlink" Target="https://www.sportsoddshistory.com/soccer-main/?y=2015-2016&amp;sa=soccer&amp;a=epl&amp;b=rel&amp;o=11" TargetMode="External"/><Relationship Id="rId51" Type="http://schemas.openxmlformats.org/officeDocument/2006/relationships/hyperlink" Target="https://www.sportsoddshistory.com/soccer-team/?sa=soccer&amp;Team=Brighton" TargetMode="External"/><Relationship Id="rId50" Type="http://schemas.openxmlformats.org/officeDocument/2006/relationships/hyperlink" Target="https://www.sportsoddshistory.com/soccer-team/?sa=soccer&amp;Team=Brentford" TargetMode="External"/><Relationship Id="rId53" Type="http://schemas.openxmlformats.org/officeDocument/2006/relationships/hyperlink" Target="https://www.sportsoddshistory.com/soccer-team/?sa=soccer&amp;Team=Bournemouth" TargetMode="External"/><Relationship Id="rId52" Type="http://schemas.openxmlformats.org/officeDocument/2006/relationships/hyperlink" Target="https://www.sportsoddshistory.com/soccer-team/?sa=soccer&amp;Team=Fulham" TargetMode="External"/><Relationship Id="rId55" Type="http://schemas.openxmlformats.org/officeDocument/2006/relationships/hyperlink" Target="https://www.sportsoddshistory.com/soccer-team/?sa=soccer&amp;Team=Chelsea" TargetMode="External"/><Relationship Id="rId161" Type="http://schemas.openxmlformats.org/officeDocument/2006/relationships/hyperlink" Target="https://www.sportsoddshistory.com/soccer-team/?sa=soccer&amp;Team=Aston+Villa" TargetMode="External"/><Relationship Id="rId282" Type="http://schemas.openxmlformats.org/officeDocument/2006/relationships/hyperlink" Target="https://www.sportsoddshistory.com/soccer-team/?sa=soccer&amp;Team=Liverpool" TargetMode="External"/><Relationship Id="rId54" Type="http://schemas.openxmlformats.org/officeDocument/2006/relationships/hyperlink" Target="https://www.sportsoddshistory.com/soccer-team/?sa=soccer&amp;Team=Nottingham+Forest" TargetMode="External"/><Relationship Id="rId160" Type="http://schemas.openxmlformats.org/officeDocument/2006/relationships/hyperlink" Target="https://www.sportsoddshistory.com/soccer-team/?sa=soccer&amp;Team=Southampton" TargetMode="External"/><Relationship Id="rId281" Type="http://schemas.openxmlformats.org/officeDocument/2006/relationships/hyperlink" Target="https://www.sportsoddshistory.com/soccer-team/?sa=soccer&amp;Team=Chelsea" TargetMode="External"/><Relationship Id="rId57" Type="http://schemas.openxmlformats.org/officeDocument/2006/relationships/hyperlink" Target="https://www.sportsoddshistory.com/soccer-team/?sa=soccer&amp;Team=Aston+Villa" TargetMode="External"/><Relationship Id="rId280" Type="http://schemas.openxmlformats.org/officeDocument/2006/relationships/hyperlink" Target="https://www.sportsoddshistory.com/soccer-team/?sa=soccer&amp;Team=Arsenal" TargetMode="External"/><Relationship Id="rId56" Type="http://schemas.openxmlformats.org/officeDocument/2006/relationships/hyperlink" Target="https://www.sportsoddshistory.com/soccer-team/?sa=soccer&amp;Team=Newcastle+United" TargetMode="External"/><Relationship Id="rId159" Type="http://schemas.openxmlformats.org/officeDocument/2006/relationships/hyperlink" Target="https://www.sportsoddshistory.com/soccer-team/?sa=soccer&amp;Team=West+Ham+United" TargetMode="External"/><Relationship Id="rId59" Type="http://schemas.openxmlformats.org/officeDocument/2006/relationships/hyperlink" Target="https://www.sportsoddshistory.com/soccer-team/?sa=soccer&amp;Team=Liverpool" TargetMode="External"/><Relationship Id="rId154" Type="http://schemas.openxmlformats.org/officeDocument/2006/relationships/hyperlink" Target="https://www.sportsoddshistory.com/soccer-team/?sa=soccer&amp;Team=Burnley" TargetMode="External"/><Relationship Id="rId275" Type="http://schemas.openxmlformats.org/officeDocument/2006/relationships/hyperlink" Target="https://www.sportsoddshistory.com/soccer-team/?sa=soccer&amp;Team=Southampton" TargetMode="External"/><Relationship Id="rId58" Type="http://schemas.openxmlformats.org/officeDocument/2006/relationships/hyperlink" Target="https://www.sportsoddshistory.com/soccer-team/?sa=soccer&amp;Team=Arsenal" TargetMode="External"/><Relationship Id="rId153" Type="http://schemas.openxmlformats.org/officeDocument/2006/relationships/hyperlink" Target="https://www.sportsoddshistory.com/soccer-team/?sa=soccer&amp;Team=Newcastle+United" TargetMode="External"/><Relationship Id="rId274" Type="http://schemas.openxmlformats.org/officeDocument/2006/relationships/hyperlink" Target="https://www.sportsoddshistory.com/soccer-team/?sa=soccer&amp;Team=Stoke+City" TargetMode="External"/><Relationship Id="rId152" Type="http://schemas.openxmlformats.org/officeDocument/2006/relationships/hyperlink" Target="https://www.sportsoddshistory.com/soccer-team/?sa=soccer&amp;Team=West+Bromwich+Albion" TargetMode="External"/><Relationship Id="rId273" Type="http://schemas.openxmlformats.org/officeDocument/2006/relationships/hyperlink" Target="https://www.sportsoddshistory.com/soccer-team/?sa=soccer&amp;Team=Bournemouth" TargetMode="External"/><Relationship Id="rId151" Type="http://schemas.openxmlformats.org/officeDocument/2006/relationships/hyperlink" Target="https://www.sportsoddshistory.com/soccer-team/?sa=soccer&amp;Team=Sheffield+United" TargetMode="External"/><Relationship Id="rId272" Type="http://schemas.openxmlformats.org/officeDocument/2006/relationships/hyperlink" Target="https://www.sportsoddshistory.com/soccer-team/?sa=soccer&amp;Team=Leicester+City" TargetMode="External"/><Relationship Id="rId158" Type="http://schemas.openxmlformats.org/officeDocument/2006/relationships/hyperlink" Target="https://www.sportsoddshistory.com/soccer-team/?sa=soccer&amp;Team=Leeds+United" TargetMode="External"/><Relationship Id="rId279" Type="http://schemas.openxmlformats.org/officeDocument/2006/relationships/hyperlink" Target="https://www.sportsoddshistory.com/soccer-team/?sa=soccer&amp;Team=Tottenham+Hotspur" TargetMode="External"/><Relationship Id="rId157" Type="http://schemas.openxmlformats.org/officeDocument/2006/relationships/hyperlink" Target="https://www.sportsoddshistory.com/soccer-team/?sa=soccer&amp;Team=Wolverhampton" TargetMode="External"/><Relationship Id="rId278" Type="http://schemas.openxmlformats.org/officeDocument/2006/relationships/hyperlink" Target="https://www.sportsoddshistory.com/soccer-team/?sa=soccer&amp;Team=Manchester+United" TargetMode="External"/><Relationship Id="rId156" Type="http://schemas.openxmlformats.org/officeDocument/2006/relationships/hyperlink" Target="https://www.sportsoddshistory.com/soccer-team/?sa=soccer&amp;Team=Crystal+Palace" TargetMode="External"/><Relationship Id="rId277" Type="http://schemas.openxmlformats.org/officeDocument/2006/relationships/hyperlink" Target="https://www.sportsoddshistory.com/soccer-team/?sa=soccer&amp;Team=Everton" TargetMode="External"/><Relationship Id="rId155" Type="http://schemas.openxmlformats.org/officeDocument/2006/relationships/hyperlink" Target="https://www.sportsoddshistory.com/soccer-team/?sa=soccer&amp;Team=Brighton" TargetMode="External"/><Relationship Id="rId276" Type="http://schemas.openxmlformats.org/officeDocument/2006/relationships/hyperlink" Target="https://www.sportsoddshistory.com/soccer-team/?sa=soccer&amp;Team=West+Bromwich+Albion" TargetMode="External"/><Relationship Id="rId107" Type="http://schemas.openxmlformats.org/officeDocument/2006/relationships/hyperlink" Target="https://www.sportsoddshistory.com/soccer-team/?sa=soccer&amp;Team=Bournemouth" TargetMode="External"/><Relationship Id="rId228" Type="http://schemas.openxmlformats.org/officeDocument/2006/relationships/hyperlink" Target="https://www.sportsoddshistory.com/soccer-main/?y=2017-2018&amp;sa=soccer&amp;a=epl&amp;b=rel&amp;o=12" TargetMode="External"/><Relationship Id="rId106" Type="http://schemas.openxmlformats.org/officeDocument/2006/relationships/hyperlink" Target="https://www.sportsoddshistory.com/soccer-team/?sa=soccer&amp;Team=Wolverhampton" TargetMode="External"/><Relationship Id="rId227" Type="http://schemas.openxmlformats.org/officeDocument/2006/relationships/hyperlink" Target="https://www.sportsoddshistory.com/soccer-main/?y=2017-2018&amp;sa=soccer&amp;a=epl&amp;b=rel&amp;o=11" TargetMode="External"/><Relationship Id="rId105" Type="http://schemas.openxmlformats.org/officeDocument/2006/relationships/hyperlink" Target="https://www.sportsoddshistory.com/soccer-team/?sa=soccer&amp;Team=West+Ham+United" TargetMode="External"/><Relationship Id="rId226" Type="http://schemas.openxmlformats.org/officeDocument/2006/relationships/hyperlink" Target="https://www.sportsoddshistory.com/soccer-main/?y=2017-2018&amp;sa=soccer&amp;a=epl&amp;b=rel&amp;o=10" TargetMode="External"/><Relationship Id="rId104" Type="http://schemas.openxmlformats.org/officeDocument/2006/relationships/hyperlink" Target="https://www.sportsoddshistory.com/soccer-team/?sa=soccer&amp;Team=Nottingham+Forest" TargetMode="External"/><Relationship Id="rId225" Type="http://schemas.openxmlformats.org/officeDocument/2006/relationships/hyperlink" Target="https://www.sportsoddshistory.com/soccer-main/?y=2017-2018&amp;sa=soccer&amp;a=epl&amp;b=rel&amp;o=p2" TargetMode="External"/><Relationship Id="rId109" Type="http://schemas.openxmlformats.org/officeDocument/2006/relationships/hyperlink" Target="https://www.sportsoddshistory.com/soccer-team/?sa=soccer&amp;Team=Brentford" TargetMode="External"/><Relationship Id="rId108" Type="http://schemas.openxmlformats.org/officeDocument/2006/relationships/hyperlink" Target="https://www.sportsoddshistory.com/soccer-team/?sa=soccer&amp;Team=Crystal+Palace" TargetMode="External"/><Relationship Id="rId229" Type="http://schemas.openxmlformats.org/officeDocument/2006/relationships/hyperlink" Target="https://www.sportsoddshistory.com/soccer-main/?y=2017-2018&amp;sa=soccer&amp;a=epl&amp;b=rel&amp;o=01" TargetMode="External"/><Relationship Id="rId220" Type="http://schemas.openxmlformats.org/officeDocument/2006/relationships/hyperlink" Target="https://www.sportsoddshistory.com/soccer-team/?sa=soccer&amp;Team=Chelsea" TargetMode="External"/><Relationship Id="rId103" Type="http://schemas.openxmlformats.org/officeDocument/2006/relationships/hyperlink" Target="https://www.sportsoddshistory.com/soccer-team/?sa=soccer&amp;Team=Everton" TargetMode="External"/><Relationship Id="rId224" Type="http://schemas.openxmlformats.org/officeDocument/2006/relationships/hyperlink" Target="https://www.sportsoddshistory.com/soccer-main/?y=2017-2018&amp;sa=soccer&amp;a=epl&amp;b=rel&amp;o=p1" TargetMode="External"/><Relationship Id="rId102" Type="http://schemas.openxmlformats.org/officeDocument/2006/relationships/hyperlink" Target="https://www.sportsoddshistory.com/soccer-team/?sa=soccer&amp;Team=Leicester+City" TargetMode="External"/><Relationship Id="rId223" Type="http://schemas.openxmlformats.org/officeDocument/2006/relationships/hyperlink" Target="https://www.sportsoddshistory.com/soccer-team/?sa=soccer&amp;Team=Manchester+City" TargetMode="External"/><Relationship Id="rId101" Type="http://schemas.openxmlformats.org/officeDocument/2006/relationships/hyperlink" Target="https://www.sportsoddshistory.com/soccer-team/?sa=soccer&amp;Team=Leeds+United" TargetMode="External"/><Relationship Id="rId222" Type="http://schemas.openxmlformats.org/officeDocument/2006/relationships/hyperlink" Target="https://www.sportsoddshistory.com/soccer-team/?sa=soccer&amp;Team=Liverpool" TargetMode="External"/><Relationship Id="rId100" Type="http://schemas.openxmlformats.org/officeDocument/2006/relationships/hyperlink" Target="https://www.sportsoddshistory.com/soccer-team/?sa=soccer&amp;Team=Southampton" TargetMode="External"/><Relationship Id="rId221" Type="http://schemas.openxmlformats.org/officeDocument/2006/relationships/hyperlink" Target="https://www.sportsoddshistory.com/soccer-team/?sa=soccer&amp;Team=Tottenham+Hotspur" TargetMode="External"/><Relationship Id="rId217" Type="http://schemas.openxmlformats.org/officeDocument/2006/relationships/hyperlink" Target="https://www.sportsoddshistory.com/soccer-team/?sa=soccer&amp;Team=Wolverhampton" TargetMode="External"/><Relationship Id="rId216" Type="http://schemas.openxmlformats.org/officeDocument/2006/relationships/hyperlink" Target="https://www.sportsoddshistory.com/soccer-team/?sa=soccer&amp;Team=Watford" TargetMode="External"/><Relationship Id="rId215" Type="http://schemas.openxmlformats.org/officeDocument/2006/relationships/hyperlink" Target="https://www.sportsoddshistory.com/soccer-team/?sa=soccer&amp;Team=Everton" TargetMode="External"/><Relationship Id="rId214" Type="http://schemas.openxmlformats.org/officeDocument/2006/relationships/hyperlink" Target="https://www.sportsoddshistory.com/soccer-team/?sa=soccer&amp;Team=West+Ham+United" TargetMode="External"/><Relationship Id="rId219" Type="http://schemas.openxmlformats.org/officeDocument/2006/relationships/hyperlink" Target="https://www.sportsoddshistory.com/soccer-team/?sa=soccer&amp;Team=Arsenal" TargetMode="External"/><Relationship Id="rId218" Type="http://schemas.openxmlformats.org/officeDocument/2006/relationships/hyperlink" Target="https://www.sportsoddshistory.com/soccer-team/?sa=soccer&amp;Team=Manchester+United" TargetMode="External"/><Relationship Id="rId213" Type="http://schemas.openxmlformats.org/officeDocument/2006/relationships/hyperlink" Target="https://www.sportsoddshistory.com/soccer-team/?sa=soccer&amp;Team=Leicester+City" TargetMode="External"/><Relationship Id="rId212" Type="http://schemas.openxmlformats.org/officeDocument/2006/relationships/hyperlink" Target="https://www.sportsoddshistory.com/soccer-team/?sa=soccer&amp;Team=Bournemouth" TargetMode="External"/><Relationship Id="rId211" Type="http://schemas.openxmlformats.org/officeDocument/2006/relationships/hyperlink" Target="https://www.sportsoddshistory.com/soccer-team/?sa=soccer&amp;Team=Crystal+Palace" TargetMode="External"/><Relationship Id="rId210" Type="http://schemas.openxmlformats.org/officeDocument/2006/relationships/hyperlink" Target="https://www.sportsoddshistory.com/soccer-team/?sa=soccer&amp;Team=Newcastle+United" TargetMode="External"/><Relationship Id="rId129" Type="http://schemas.openxmlformats.org/officeDocument/2006/relationships/hyperlink" Target="https://www.sportsoddshistory.com/soccer-team/?sa=soccer&amp;Team=Brentford" TargetMode="External"/><Relationship Id="rId128" Type="http://schemas.openxmlformats.org/officeDocument/2006/relationships/hyperlink" Target="https://www.sportsoddshistory.com/soccer-team/?sa=soccer&amp;Team=Everton" TargetMode="External"/><Relationship Id="rId249" Type="http://schemas.openxmlformats.org/officeDocument/2006/relationships/hyperlink" Target="https://www.sportsoddshistory.com/soccer-team/?sa=soccer&amp;Team=Arsenal" TargetMode="External"/><Relationship Id="rId127" Type="http://schemas.openxmlformats.org/officeDocument/2006/relationships/hyperlink" Target="https://www.sportsoddshistory.com/soccer-team/?sa=soccer&amp;Team=Leeds+United" TargetMode="External"/><Relationship Id="rId248" Type="http://schemas.openxmlformats.org/officeDocument/2006/relationships/hyperlink" Target="https://www.sportsoddshistory.com/soccer-team/?sa=soccer&amp;Team=Leicester+City" TargetMode="External"/><Relationship Id="rId126" Type="http://schemas.openxmlformats.org/officeDocument/2006/relationships/hyperlink" Target="https://www.sportsoddshistory.com/soccer-team/?sa=soccer&amp;Team=Watford" TargetMode="External"/><Relationship Id="rId247" Type="http://schemas.openxmlformats.org/officeDocument/2006/relationships/hyperlink" Target="https://www.sportsoddshistory.com/soccer-team/?sa=soccer&amp;Team=Newcastle+United" TargetMode="External"/><Relationship Id="rId121" Type="http://schemas.openxmlformats.org/officeDocument/2006/relationships/hyperlink" Target="https://www.sportsoddshistory.com/soccer-main/?y=2021-2022&amp;sa=soccer&amp;a=epl&amp;b=rel&amp;o=03" TargetMode="External"/><Relationship Id="rId242" Type="http://schemas.openxmlformats.org/officeDocument/2006/relationships/hyperlink" Target="https://www.sportsoddshistory.com/soccer-team/?sa=soccer&amp;Team=Watford" TargetMode="External"/><Relationship Id="rId120" Type="http://schemas.openxmlformats.org/officeDocument/2006/relationships/hyperlink" Target="https://www.sportsoddshistory.com/soccer-main/?y=2021-2022&amp;sa=soccer&amp;a=epl&amp;b=rel&amp;o=02" TargetMode="External"/><Relationship Id="rId241" Type="http://schemas.openxmlformats.org/officeDocument/2006/relationships/hyperlink" Target="https://www.sportsoddshistory.com/soccer-team/?sa=soccer&amp;Team=Bournemouth" TargetMode="External"/><Relationship Id="rId240" Type="http://schemas.openxmlformats.org/officeDocument/2006/relationships/hyperlink" Target="https://www.sportsoddshistory.com/soccer-team/?sa=soccer&amp;Team=Brighton" TargetMode="External"/><Relationship Id="rId125" Type="http://schemas.openxmlformats.org/officeDocument/2006/relationships/hyperlink" Target="https://www.sportsoddshistory.com/soccer-team/?sa=soccer&amp;Team=Norwich+City" TargetMode="External"/><Relationship Id="rId246" Type="http://schemas.openxmlformats.org/officeDocument/2006/relationships/hyperlink" Target="https://www.sportsoddshistory.com/soccer-team/?sa=soccer&amp;Team=Burnley" TargetMode="External"/><Relationship Id="rId124" Type="http://schemas.openxmlformats.org/officeDocument/2006/relationships/hyperlink" Target="https://www.sportsoddshistory.com/soccer-team/?sa=soccer&amp;Team=Burnley" TargetMode="External"/><Relationship Id="rId245" Type="http://schemas.openxmlformats.org/officeDocument/2006/relationships/hyperlink" Target="https://www.sportsoddshistory.com/soccer-team/?sa=soccer&amp;Team=Everton" TargetMode="External"/><Relationship Id="rId123" Type="http://schemas.openxmlformats.org/officeDocument/2006/relationships/hyperlink" Target="https://www.sportsoddshistory.com/soccer-main/?y=2021-2022&amp;sa=soccer&amp;a=epl&amp;b=rel&amp;o=05" TargetMode="External"/><Relationship Id="rId244" Type="http://schemas.openxmlformats.org/officeDocument/2006/relationships/hyperlink" Target="https://www.sportsoddshistory.com/soccer-team/?sa=soccer&amp;Team=Tottenham+Hotspur" TargetMode="External"/><Relationship Id="rId122" Type="http://schemas.openxmlformats.org/officeDocument/2006/relationships/hyperlink" Target="https://www.sportsoddshistory.com/soccer-main/?y=2021-2022&amp;sa=soccer&amp;a=epl&amp;b=rel&amp;o=04" TargetMode="External"/><Relationship Id="rId243" Type="http://schemas.openxmlformats.org/officeDocument/2006/relationships/hyperlink" Target="https://www.sportsoddshistory.com/soccer-team/?sa=soccer&amp;Team=Crystal+Palace" TargetMode="External"/><Relationship Id="rId95" Type="http://schemas.openxmlformats.org/officeDocument/2006/relationships/hyperlink" Target="https://www.sportsoddshistory.com/soccer-main/?y=2022-2023&amp;sa=soccer&amp;a=epl&amp;b=rel&amp;o=01" TargetMode="External"/><Relationship Id="rId94" Type="http://schemas.openxmlformats.org/officeDocument/2006/relationships/hyperlink" Target="https://www.sportsoddshistory.com/soccer-main/?y=2022-2023&amp;sa=soccer&amp;a=epl&amp;b=rel&amp;o=12" TargetMode="External"/><Relationship Id="rId97" Type="http://schemas.openxmlformats.org/officeDocument/2006/relationships/hyperlink" Target="https://www.sportsoddshistory.com/soccer-main/?y=2022-2023&amp;sa=soccer&amp;a=epl&amp;b=rel&amp;o=03" TargetMode="External"/><Relationship Id="rId96" Type="http://schemas.openxmlformats.org/officeDocument/2006/relationships/hyperlink" Target="https://www.sportsoddshistory.com/soccer-main/?y=2022-2023&amp;sa=soccer&amp;a=epl&amp;b=rel&amp;o=02" TargetMode="External"/><Relationship Id="rId99" Type="http://schemas.openxmlformats.org/officeDocument/2006/relationships/hyperlink" Target="https://www.sportsoddshistory.com/soccer-main/?y=2022-2023&amp;sa=soccer&amp;a=epl&amp;b=rel&amp;o=05" TargetMode="External"/><Relationship Id="rId98" Type="http://schemas.openxmlformats.org/officeDocument/2006/relationships/hyperlink" Target="https://www.sportsoddshistory.com/soccer-main/?y=2022-2023&amp;sa=soccer&amp;a=epl&amp;b=rel&amp;o=04" TargetMode="External"/><Relationship Id="rId91" Type="http://schemas.openxmlformats.org/officeDocument/2006/relationships/hyperlink" Target="https://www.sportsoddshistory.com/soccer-main/?y=2022-2023&amp;sa=soccer&amp;a=epl&amp;b=rel&amp;o=p2" TargetMode="External"/><Relationship Id="rId90" Type="http://schemas.openxmlformats.org/officeDocument/2006/relationships/hyperlink" Target="https://www.sportsoddshistory.com/soccer-main/?y=2022-2023&amp;sa=soccer&amp;a=epl&amp;b=rel&amp;o=p1" TargetMode="External"/><Relationship Id="rId93" Type="http://schemas.openxmlformats.org/officeDocument/2006/relationships/hyperlink" Target="https://www.sportsoddshistory.com/soccer-main/?y=2022-2023&amp;sa=soccer&amp;a=epl&amp;b=rel&amp;o=11" TargetMode="External"/><Relationship Id="rId92" Type="http://schemas.openxmlformats.org/officeDocument/2006/relationships/hyperlink" Target="https://www.sportsoddshistory.com/soccer-main/?y=2022-2023&amp;sa=soccer&amp;a=epl&amp;b=rel&amp;o=10" TargetMode="External"/><Relationship Id="rId118" Type="http://schemas.openxmlformats.org/officeDocument/2006/relationships/hyperlink" Target="https://www.sportsoddshistory.com/soccer-main/?y=2021-2022&amp;sa=soccer&amp;a=epl&amp;b=rel&amp;o=12" TargetMode="External"/><Relationship Id="rId239" Type="http://schemas.openxmlformats.org/officeDocument/2006/relationships/hyperlink" Target="https://www.sportsoddshistory.com/soccer-team/?sa=soccer&amp;Team=West+Ham+United" TargetMode="External"/><Relationship Id="rId117" Type="http://schemas.openxmlformats.org/officeDocument/2006/relationships/hyperlink" Target="https://www.sportsoddshistory.com/soccer-main/?y=2021-2022&amp;sa=soccer&amp;a=epl&amp;b=rel&amp;o=11" TargetMode="External"/><Relationship Id="rId238" Type="http://schemas.openxmlformats.org/officeDocument/2006/relationships/hyperlink" Target="https://www.sportsoddshistory.com/soccer-team/?sa=soccer&amp;Team=Huddersfield+Town" TargetMode="External"/><Relationship Id="rId116" Type="http://schemas.openxmlformats.org/officeDocument/2006/relationships/hyperlink" Target="https://www.sportsoddshistory.com/soccer-main/?y=2021-2022&amp;sa=soccer&amp;a=epl&amp;b=rel&amp;o=10" TargetMode="External"/><Relationship Id="rId237" Type="http://schemas.openxmlformats.org/officeDocument/2006/relationships/hyperlink" Target="https://www.sportsoddshistory.com/soccer-team/?sa=soccer&amp;Team=Southampton" TargetMode="External"/><Relationship Id="rId115" Type="http://schemas.openxmlformats.org/officeDocument/2006/relationships/hyperlink" Target="https://www.sportsoddshistory.com/soccer-main/?y=2021-2022&amp;sa=soccer&amp;a=epl&amp;b=rel&amp;o=p2" TargetMode="External"/><Relationship Id="rId236" Type="http://schemas.openxmlformats.org/officeDocument/2006/relationships/hyperlink" Target="https://www.sportsoddshistory.com/soccer-team/?sa=soccer&amp;Team=West+Bromwich+Albion" TargetMode="External"/><Relationship Id="rId119" Type="http://schemas.openxmlformats.org/officeDocument/2006/relationships/hyperlink" Target="https://www.sportsoddshistory.com/soccer-main/?y=2021-2022&amp;sa=soccer&amp;a=epl&amp;b=rel&amp;o=01" TargetMode="External"/><Relationship Id="rId110" Type="http://schemas.openxmlformats.org/officeDocument/2006/relationships/hyperlink" Target="https://www.sportsoddshistory.com/soccer-team/?sa=soccer&amp;Team=Aston+Villa" TargetMode="External"/><Relationship Id="rId231" Type="http://schemas.openxmlformats.org/officeDocument/2006/relationships/hyperlink" Target="https://www.sportsoddshistory.com/soccer-main/?y=2017-2018&amp;sa=soccer&amp;a=epl&amp;b=rel&amp;o=03" TargetMode="External"/><Relationship Id="rId230" Type="http://schemas.openxmlformats.org/officeDocument/2006/relationships/hyperlink" Target="https://www.sportsoddshistory.com/soccer-main/?y=2017-2018&amp;sa=soccer&amp;a=epl&amp;b=rel&amp;o=02" TargetMode="External"/><Relationship Id="rId114" Type="http://schemas.openxmlformats.org/officeDocument/2006/relationships/hyperlink" Target="https://www.sportsoddshistory.com/soccer-main/?y=2021-2022&amp;sa=soccer&amp;a=epl&amp;b=rel&amp;o=p1" TargetMode="External"/><Relationship Id="rId235" Type="http://schemas.openxmlformats.org/officeDocument/2006/relationships/hyperlink" Target="https://www.sportsoddshistory.com/soccer-team/?sa=soccer&amp;Team=Swansea+City" TargetMode="External"/><Relationship Id="rId113" Type="http://schemas.openxmlformats.org/officeDocument/2006/relationships/hyperlink" Target="https://www.sportsoddshistory.com/soccer-team/?sa=soccer&amp;Team=Newcastle+United" TargetMode="External"/><Relationship Id="rId234" Type="http://schemas.openxmlformats.org/officeDocument/2006/relationships/hyperlink" Target="https://www.sportsoddshistory.com/soccer-team/?sa=soccer&amp;Team=Stoke+City" TargetMode="External"/><Relationship Id="rId112" Type="http://schemas.openxmlformats.org/officeDocument/2006/relationships/hyperlink" Target="https://www.sportsoddshistory.com/soccer-team/?sa=soccer&amp;Team=Brighton" TargetMode="External"/><Relationship Id="rId233" Type="http://schemas.openxmlformats.org/officeDocument/2006/relationships/hyperlink" Target="https://www.sportsoddshistory.com/soccer-main/?y=2017-2018&amp;sa=soccer&amp;a=epl&amp;b=rel&amp;o=05" TargetMode="External"/><Relationship Id="rId111" Type="http://schemas.openxmlformats.org/officeDocument/2006/relationships/hyperlink" Target="https://www.sportsoddshistory.com/soccer-team/?sa=soccer&amp;Team=Fulham" TargetMode="External"/><Relationship Id="rId232" Type="http://schemas.openxmlformats.org/officeDocument/2006/relationships/hyperlink" Target="https://www.sportsoddshistory.com/soccer-main/?y=2017-2018&amp;sa=soccer&amp;a=epl&amp;b=rel&amp;o=04" TargetMode="External"/><Relationship Id="rId305" Type="http://schemas.openxmlformats.org/officeDocument/2006/relationships/hyperlink" Target="https://www.sportsoddshistory.com/soccer-team/?sa=soccer&amp;Team=Liverpool" TargetMode="External"/><Relationship Id="rId304" Type="http://schemas.openxmlformats.org/officeDocument/2006/relationships/hyperlink" Target="https://www.sportsoddshistory.com/soccer-team/?sa=soccer&amp;Team=Everton" TargetMode="External"/><Relationship Id="rId303" Type="http://schemas.openxmlformats.org/officeDocument/2006/relationships/hyperlink" Target="https://www.sportsoddshistory.com/soccer-team/?sa=soccer&amp;Team=Stoke+City" TargetMode="External"/><Relationship Id="rId302" Type="http://schemas.openxmlformats.org/officeDocument/2006/relationships/hyperlink" Target="https://www.sportsoddshistory.com/soccer-team/?sa=soccer&amp;Team=West+Bromwich+Albion" TargetMode="External"/><Relationship Id="rId309" Type="http://schemas.openxmlformats.org/officeDocument/2006/relationships/hyperlink" Target="https://www.sportsoddshistory.com/soccer-team/?sa=soccer&amp;Team=Leicester+City" TargetMode="External"/><Relationship Id="rId308" Type="http://schemas.openxmlformats.org/officeDocument/2006/relationships/hyperlink" Target="https://www.sportsoddshistory.com/soccer-team/?sa=soccer&amp;Team=West+Ham+United" TargetMode="External"/><Relationship Id="rId307" Type="http://schemas.openxmlformats.org/officeDocument/2006/relationships/hyperlink" Target="https://www.sportsoddshistory.com/soccer-team/?sa=soccer&amp;Team=Southampton" TargetMode="External"/><Relationship Id="rId306" Type="http://schemas.openxmlformats.org/officeDocument/2006/relationships/hyperlink" Target="https://www.sportsoddshistory.com/soccer-team/?sa=soccer&amp;Team=Chelsea" TargetMode="External"/><Relationship Id="rId301" Type="http://schemas.openxmlformats.org/officeDocument/2006/relationships/hyperlink" Target="https://www.sportsoddshistory.com/soccer-team/?sa=soccer&amp;Team=Bournemouth" TargetMode="External"/><Relationship Id="rId300" Type="http://schemas.openxmlformats.org/officeDocument/2006/relationships/hyperlink" Target="https://www.sportsoddshistory.com/soccer-team/?sa=soccer&amp;Team=Watford" TargetMode="External"/><Relationship Id="rId206" Type="http://schemas.openxmlformats.org/officeDocument/2006/relationships/hyperlink" Target="https://www.sportsoddshistory.com/soccer-team/?sa=soccer&amp;Team=Fulham" TargetMode="External"/><Relationship Id="rId205" Type="http://schemas.openxmlformats.org/officeDocument/2006/relationships/hyperlink" Target="https://www.sportsoddshistory.com/soccer-team/?sa=soccer&amp;Team=Huddersfield+Town" TargetMode="External"/><Relationship Id="rId204" Type="http://schemas.openxmlformats.org/officeDocument/2006/relationships/hyperlink" Target="https://www.sportsoddshistory.com/soccer-team/?sa=soccer&amp;Team=Cardiff+City" TargetMode="External"/><Relationship Id="rId203" Type="http://schemas.openxmlformats.org/officeDocument/2006/relationships/hyperlink" Target="https://www.sportsoddshistory.com/soccer-main/?y=2018-2019&amp;sa=soccer&amp;a=epl&amp;b=rel&amp;o=05" TargetMode="External"/><Relationship Id="rId209" Type="http://schemas.openxmlformats.org/officeDocument/2006/relationships/hyperlink" Target="https://www.sportsoddshistory.com/soccer-team/?sa=soccer&amp;Team=Southampton" TargetMode="External"/><Relationship Id="rId208" Type="http://schemas.openxmlformats.org/officeDocument/2006/relationships/hyperlink" Target="https://www.sportsoddshistory.com/soccer-team/?sa=soccer&amp;Team=Burnley" TargetMode="External"/><Relationship Id="rId207" Type="http://schemas.openxmlformats.org/officeDocument/2006/relationships/hyperlink" Target="https://www.sportsoddshistory.com/soccer-team/?sa=soccer&amp;Team=Brighton" TargetMode="External"/><Relationship Id="rId202" Type="http://schemas.openxmlformats.org/officeDocument/2006/relationships/hyperlink" Target="https://www.sportsoddshistory.com/soccer-main/?y=2018-2019&amp;sa=soccer&amp;a=epl&amp;b=rel&amp;o=04" TargetMode="External"/><Relationship Id="rId201" Type="http://schemas.openxmlformats.org/officeDocument/2006/relationships/hyperlink" Target="https://www.sportsoddshistory.com/soccer-main/?y=2018-2019&amp;sa=soccer&amp;a=epl&amp;b=rel&amp;o=03" TargetMode="External"/><Relationship Id="rId200" Type="http://schemas.openxmlformats.org/officeDocument/2006/relationships/hyperlink" Target="https://www.sportsoddshistory.com/soccer-main/?y=2018-2019&amp;sa=soccer&amp;a=epl&amp;b=rel&amp;o=02" TargetMode="External"/><Relationship Id="rId314" Type="http://schemas.openxmlformats.org/officeDocument/2006/relationships/drawing" Target="../drawings/drawing3.xml"/><Relationship Id="rId313" Type="http://schemas.openxmlformats.org/officeDocument/2006/relationships/hyperlink" Target="https://www.sportsoddshistory.com/soccer-team/?sa=soccer&amp;Team=Manchester+City" TargetMode="External"/><Relationship Id="rId312" Type="http://schemas.openxmlformats.org/officeDocument/2006/relationships/hyperlink" Target="https://www.sportsoddshistory.com/soccer-team/?sa=soccer&amp;Team=Arsenal" TargetMode="External"/><Relationship Id="rId311" Type="http://schemas.openxmlformats.org/officeDocument/2006/relationships/hyperlink" Target="https://www.sportsoddshistory.com/soccer-team/?sa=soccer&amp;Team=Manchester+United" TargetMode="External"/><Relationship Id="rId310" Type="http://schemas.openxmlformats.org/officeDocument/2006/relationships/hyperlink" Target="https://www.sportsoddshistory.com/soccer-team/?sa=soccer&amp;Team=Tottenham+Hotspur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oddshistory.com/soccer-team/?sa=soccer&amp;Team=SSC+Napoli" TargetMode="External"/><Relationship Id="rId42" Type="http://schemas.openxmlformats.org/officeDocument/2006/relationships/hyperlink" Target="https://www.sportsoddshistory.com/soccer-team/?sa=soccer&amp;Team=Atalanta+Bergamo" TargetMode="External"/><Relationship Id="rId41" Type="http://schemas.openxmlformats.org/officeDocument/2006/relationships/hyperlink" Target="https://www.sportsoddshistory.com/soccer-team/?sa=soccer&amp;Team=Inter+Milan" TargetMode="External"/><Relationship Id="rId44" Type="http://schemas.openxmlformats.org/officeDocument/2006/relationships/hyperlink" Target="https://www.sportsoddshistory.com/soccer-team/?sa=soccer&amp;Team=FC+Bologna" TargetMode="External"/><Relationship Id="rId43" Type="http://schemas.openxmlformats.org/officeDocument/2006/relationships/hyperlink" Target="https://www.sportsoddshistory.com/soccer-team/?sa=soccer&amp;Team=Juventus" TargetMode="External"/><Relationship Id="rId46" Type="http://schemas.openxmlformats.org/officeDocument/2006/relationships/hyperlink" Target="https://www.sportsoddshistory.com/soccer-team/?sa=soccer&amp;Team=AS+Roma" TargetMode="External"/><Relationship Id="rId45" Type="http://schemas.openxmlformats.org/officeDocument/2006/relationships/hyperlink" Target="https://www.sportsoddshistory.com/soccer-team/?sa=soccer&amp;Team=Lazio+Rome" TargetMode="External"/><Relationship Id="rId48" Type="http://schemas.openxmlformats.org/officeDocument/2006/relationships/hyperlink" Target="https://www.sportsoddshistory.com/soccer-team/?sa=soccer&amp;Team=Fiorentina" TargetMode="External"/><Relationship Id="rId47" Type="http://schemas.openxmlformats.org/officeDocument/2006/relationships/hyperlink" Target="https://www.sportsoddshistory.com/soccer-team/?sa=soccer&amp;Team=AC+Milan" TargetMode="External"/><Relationship Id="rId49" Type="http://schemas.openxmlformats.org/officeDocument/2006/relationships/hyperlink" Target="https://www.sportsoddshistory.com/soccer-team/?sa=soccer&amp;Team=FC+Torino" TargetMode="External"/><Relationship Id="rId31" Type="http://schemas.openxmlformats.org/officeDocument/2006/relationships/hyperlink" Target="https://www.sportsoddshistory.com/soccer-main/?y=2024-2025&amp;sa=soccer&amp;a=isa&amp;b=two&amp;o=p2" TargetMode="External"/><Relationship Id="rId30" Type="http://schemas.openxmlformats.org/officeDocument/2006/relationships/hyperlink" Target="https://www.sportsoddshistory.com/soccer-main/?y=2024-2025&amp;sa=soccer&amp;a=isa&amp;b=two&amp;o=p1" TargetMode="External"/><Relationship Id="rId33" Type="http://schemas.openxmlformats.org/officeDocument/2006/relationships/hyperlink" Target="https://www.sportsoddshistory.com/soccer-main/?y=2024-2025&amp;sa=soccer&amp;a=isa&amp;b=two&amp;o=11" TargetMode="External"/><Relationship Id="rId32" Type="http://schemas.openxmlformats.org/officeDocument/2006/relationships/hyperlink" Target="https://www.sportsoddshistory.com/soccer-main/?y=2024-2025&amp;sa=soccer&amp;a=isa&amp;b=two&amp;o=10" TargetMode="External"/><Relationship Id="rId35" Type="http://schemas.openxmlformats.org/officeDocument/2006/relationships/hyperlink" Target="https://www.sportsoddshistory.com/soccer-main/?y=2024-2025&amp;sa=soccer&amp;a=isa&amp;b=two&amp;o=01" TargetMode="External"/><Relationship Id="rId34" Type="http://schemas.openxmlformats.org/officeDocument/2006/relationships/hyperlink" Target="https://www.sportsoddshistory.com/soccer-main/?y=2024-2025&amp;sa=soccer&amp;a=isa&amp;b=two&amp;o=12" TargetMode="External"/><Relationship Id="rId37" Type="http://schemas.openxmlformats.org/officeDocument/2006/relationships/hyperlink" Target="https://www.sportsoddshistory.com/soccer-main/?y=2024-2025&amp;sa=soccer&amp;a=isa&amp;b=two&amp;o=03" TargetMode="External"/><Relationship Id="rId176" Type="http://schemas.openxmlformats.org/officeDocument/2006/relationships/hyperlink" Target="https://www.sportsoddshistory.com/soccer-team/?sa=soccer&amp;Team=Benevento" TargetMode="External"/><Relationship Id="rId36" Type="http://schemas.openxmlformats.org/officeDocument/2006/relationships/hyperlink" Target="https://www.sportsoddshistory.com/soccer-main/?y=2024-2025&amp;sa=soccer&amp;a=isa&amp;b=two&amp;o=02" TargetMode="External"/><Relationship Id="rId175" Type="http://schemas.openxmlformats.org/officeDocument/2006/relationships/hyperlink" Target="https://www.sportsoddshistory.com/soccer-team/?sa=soccer&amp;Team=Cagliari" TargetMode="External"/><Relationship Id="rId39" Type="http://schemas.openxmlformats.org/officeDocument/2006/relationships/hyperlink" Target="https://www.sportsoddshistory.com/soccer-main/?y=2024-2025&amp;sa=soccer&amp;a=isa&amp;b=two&amp;o=05" TargetMode="External"/><Relationship Id="rId174" Type="http://schemas.openxmlformats.org/officeDocument/2006/relationships/hyperlink" Target="https://www.sportsoddshistory.com/soccer-team/?sa=soccer&amp;Team=Spezia" TargetMode="External"/><Relationship Id="rId38" Type="http://schemas.openxmlformats.org/officeDocument/2006/relationships/hyperlink" Target="https://www.sportsoddshistory.com/soccer-main/?y=2024-2025&amp;sa=soccer&amp;a=isa&amp;b=two&amp;o=04" TargetMode="External"/><Relationship Id="rId173" Type="http://schemas.openxmlformats.org/officeDocument/2006/relationships/hyperlink" Target="https://www.sportsoddshistory.com/soccer-team/?sa=soccer&amp;Team=FC+Genoa" TargetMode="External"/><Relationship Id="rId179" Type="http://schemas.openxmlformats.org/officeDocument/2006/relationships/drawing" Target="../drawings/drawing4.xml"/><Relationship Id="rId178" Type="http://schemas.openxmlformats.org/officeDocument/2006/relationships/hyperlink" Target="https://www.sportsoddshistory.com/soccer-team/?sa=soccer&amp;Team=Crotone" TargetMode="External"/><Relationship Id="rId177" Type="http://schemas.openxmlformats.org/officeDocument/2006/relationships/hyperlink" Target="https://www.sportsoddshistory.com/soccer-team/?sa=soccer&amp;Team=AC+Parma" TargetMode="External"/><Relationship Id="rId20" Type="http://schemas.openxmlformats.org/officeDocument/2006/relationships/hyperlink" Target="https://www.sportsoddshistory.com/soccer-team/?sa=soccer&amp;Team=Udinese" TargetMode="External"/><Relationship Id="rId22" Type="http://schemas.openxmlformats.org/officeDocument/2006/relationships/hyperlink" Target="https://www.sportsoddshistory.com/soccer-team/?sa=soccer&amp;Team=US+Cremonese" TargetMode="External"/><Relationship Id="rId21" Type="http://schemas.openxmlformats.org/officeDocument/2006/relationships/hyperlink" Target="https://www.sportsoddshistory.com/soccer-team/?sa=soccer&amp;Team=FC+Torino" TargetMode="External"/><Relationship Id="rId24" Type="http://schemas.openxmlformats.org/officeDocument/2006/relationships/hyperlink" Target="https://www.sportsoddshistory.com/soccer-team/?sa=soccer&amp;Team=Parma+Calcio" TargetMode="External"/><Relationship Id="rId23" Type="http://schemas.openxmlformats.org/officeDocument/2006/relationships/hyperlink" Target="https://www.sportsoddshistory.com/soccer-team/?sa=soccer&amp;Team=FC+Genoa" TargetMode="External"/><Relationship Id="rId26" Type="http://schemas.openxmlformats.org/officeDocument/2006/relationships/hyperlink" Target="https://www.sportsoddshistory.com/soccer-team/?sa=soccer&amp;Team=Cagliari+Calcio" TargetMode="External"/><Relationship Id="rId25" Type="http://schemas.openxmlformats.org/officeDocument/2006/relationships/hyperlink" Target="https://www.sportsoddshistory.com/soccer-team/?sa=soccer&amp;Team=US+Sassuolo" TargetMode="External"/><Relationship Id="rId28" Type="http://schemas.openxmlformats.org/officeDocument/2006/relationships/hyperlink" Target="https://www.sportsoddshistory.com/soccer-team/?sa=soccer&amp;Team=Pisa+Sporting+Club" TargetMode="External"/><Relationship Id="rId27" Type="http://schemas.openxmlformats.org/officeDocument/2006/relationships/hyperlink" Target="https://www.sportsoddshistory.com/soccer-team/?sa=soccer&amp;Team=Hellas+Verona" TargetMode="External"/><Relationship Id="rId29" Type="http://schemas.openxmlformats.org/officeDocument/2006/relationships/hyperlink" Target="https://www.sportsoddshistory.com/soccer-team/?sa=soccer&amp;Team=US+Lecce" TargetMode="External"/><Relationship Id="rId11" Type="http://schemas.openxmlformats.org/officeDocument/2006/relationships/hyperlink" Target="https://www.sportsoddshistory.com/soccer-team/?sa=soccer&amp;Team=SSC+Napoli" TargetMode="External"/><Relationship Id="rId10" Type="http://schemas.openxmlformats.org/officeDocument/2006/relationships/hyperlink" Target="https://www.sportsoddshistory.com/soccer-team/?sa=soccer&amp;Team=Inter+Milan" TargetMode="External"/><Relationship Id="rId13" Type="http://schemas.openxmlformats.org/officeDocument/2006/relationships/hyperlink" Target="https://www.sportsoddshistory.com/soccer-team/?sa=soccer&amp;Team=AS+Roma" TargetMode="External"/><Relationship Id="rId12" Type="http://schemas.openxmlformats.org/officeDocument/2006/relationships/hyperlink" Target="https://www.sportsoddshistory.com/soccer-team/?sa=soccer&amp;Team=AC+Milan" TargetMode="External"/><Relationship Id="rId15" Type="http://schemas.openxmlformats.org/officeDocument/2006/relationships/hyperlink" Target="https://www.sportsoddshistory.com/soccer-team/?sa=soccer&amp;Team=Atalanta+Bergamo" TargetMode="External"/><Relationship Id="rId14" Type="http://schemas.openxmlformats.org/officeDocument/2006/relationships/hyperlink" Target="https://www.sportsoddshistory.com/soccer-team/?sa=soccer&amp;Team=Juventus" TargetMode="External"/><Relationship Id="rId17" Type="http://schemas.openxmlformats.org/officeDocument/2006/relationships/hyperlink" Target="https://www.sportsoddshistory.com/soccer-team/?sa=soccer&amp;Team=FC+Bologna" TargetMode="External"/><Relationship Id="rId16" Type="http://schemas.openxmlformats.org/officeDocument/2006/relationships/hyperlink" Target="https://www.sportsoddshistory.com/soccer-team/?sa=soccer&amp;Team=Como+1907" TargetMode="External"/><Relationship Id="rId19" Type="http://schemas.openxmlformats.org/officeDocument/2006/relationships/hyperlink" Target="https://www.sportsoddshistory.com/soccer-team/?sa=soccer&amp;Team=Fiorentina" TargetMode="External"/><Relationship Id="rId18" Type="http://schemas.openxmlformats.org/officeDocument/2006/relationships/hyperlink" Target="https://www.sportsoddshistory.com/soccer-team/?sa=soccer&amp;Team=Lazio+Rome" TargetMode="External"/><Relationship Id="rId84" Type="http://schemas.openxmlformats.org/officeDocument/2006/relationships/hyperlink" Target="https://www.sportsoddshistory.com/soccer-team/?sa=soccer&amp;Team=Udinese" TargetMode="External"/><Relationship Id="rId83" Type="http://schemas.openxmlformats.org/officeDocument/2006/relationships/hyperlink" Target="https://www.sportsoddshistory.com/soccer-team/?sa=soccer&amp;Team=FC+Genoa" TargetMode="External"/><Relationship Id="rId86" Type="http://schemas.openxmlformats.org/officeDocument/2006/relationships/hyperlink" Target="https://www.sportsoddshistory.com/soccer-team/?sa=soccer&amp;Team=Cagliari+Calcio" TargetMode="External"/><Relationship Id="rId85" Type="http://schemas.openxmlformats.org/officeDocument/2006/relationships/hyperlink" Target="https://www.sportsoddshistory.com/soccer-team/?sa=soccer&amp;Team=Frosinone+Calcio" TargetMode="External"/><Relationship Id="rId88" Type="http://schemas.openxmlformats.org/officeDocument/2006/relationships/hyperlink" Target="https://www.sportsoddshistory.com/soccer-team/?sa=soccer&amp;Team=Hellas+Verona" TargetMode="External"/><Relationship Id="rId150" Type="http://schemas.openxmlformats.org/officeDocument/2006/relationships/hyperlink" Target="https://www.sportsoddshistory.com/soccer-main/?y=2020-2021&amp;sa=soccer&amp;a=isa&amp;b=two&amp;o=p1" TargetMode="External"/><Relationship Id="rId87" Type="http://schemas.openxmlformats.org/officeDocument/2006/relationships/hyperlink" Target="https://www.sportsoddshistory.com/soccer-team/?sa=soccer&amp;Team=Salernitana" TargetMode="External"/><Relationship Id="rId89" Type="http://schemas.openxmlformats.org/officeDocument/2006/relationships/hyperlink" Target="https://www.sportsoddshistory.com/soccer-team/?sa=soccer&amp;Team=FC+Empoli" TargetMode="External"/><Relationship Id="rId80" Type="http://schemas.openxmlformats.org/officeDocument/2006/relationships/hyperlink" Target="https://www.sportsoddshistory.com/soccer-team/?sa=soccer&amp;Team=AC+Monza" TargetMode="External"/><Relationship Id="rId82" Type="http://schemas.openxmlformats.org/officeDocument/2006/relationships/hyperlink" Target="https://www.sportsoddshistory.com/soccer-team/?sa=soccer&amp;Team=US+Lecce" TargetMode="External"/><Relationship Id="rId81" Type="http://schemas.openxmlformats.org/officeDocument/2006/relationships/hyperlink" Target="https://www.sportsoddshistory.com/soccer-team/?sa=soccer&amp;Team=US+Sassuolo" TargetMode="External"/><Relationship Id="rId1" Type="http://schemas.openxmlformats.org/officeDocument/2006/relationships/hyperlink" Target="https://www.sportsoddshistory.com/soccer-main/?y=2025-2026&amp;sa=soccer&amp;a=isa&amp;b=two&amp;o=p1" TargetMode="External"/><Relationship Id="rId2" Type="http://schemas.openxmlformats.org/officeDocument/2006/relationships/hyperlink" Target="https://www.sportsoddshistory.com/soccer-main/?y=2025-2026&amp;sa=soccer&amp;a=isa&amp;b=two&amp;o=10" TargetMode="External"/><Relationship Id="rId3" Type="http://schemas.openxmlformats.org/officeDocument/2006/relationships/hyperlink" Target="https://www.sportsoddshistory.com/soccer-main/?y=2025-2026&amp;sa=soccer&amp;a=isa&amp;b=two&amp;o=11" TargetMode="External"/><Relationship Id="rId149" Type="http://schemas.openxmlformats.org/officeDocument/2006/relationships/hyperlink" Target="https://www.sportsoddshistory.com/soccer-team/?sa=soccer&amp;Team=Salernitana" TargetMode="External"/><Relationship Id="rId4" Type="http://schemas.openxmlformats.org/officeDocument/2006/relationships/hyperlink" Target="https://www.sportsoddshistory.com/soccer-main/?y=2025-2026&amp;sa=soccer&amp;a=isa&amp;b=two&amp;o=12" TargetMode="External"/><Relationship Id="rId148" Type="http://schemas.openxmlformats.org/officeDocument/2006/relationships/hyperlink" Target="https://www.sportsoddshistory.com/soccer-team/?sa=soccer&amp;Team=Venezia" TargetMode="External"/><Relationship Id="rId9" Type="http://schemas.openxmlformats.org/officeDocument/2006/relationships/hyperlink" Target="https://www.sportsoddshistory.com/soccer-main/?y=2025-2026&amp;sa=soccer&amp;a=isa&amp;b=two&amp;o=05" TargetMode="External"/><Relationship Id="rId143" Type="http://schemas.openxmlformats.org/officeDocument/2006/relationships/hyperlink" Target="https://www.sportsoddshistory.com/soccer-team/?sa=soccer&amp;Team=Sampdoria+Genova" TargetMode="External"/><Relationship Id="rId142" Type="http://schemas.openxmlformats.org/officeDocument/2006/relationships/hyperlink" Target="https://www.sportsoddshistory.com/soccer-team/?sa=soccer&amp;Team=FC+Empoli" TargetMode="External"/><Relationship Id="rId141" Type="http://schemas.openxmlformats.org/officeDocument/2006/relationships/hyperlink" Target="https://www.sportsoddshistory.com/soccer-team/?sa=soccer&amp;Team=FC+Bologna" TargetMode="External"/><Relationship Id="rId140" Type="http://schemas.openxmlformats.org/officeDocument/2006/relationships/hyperlink" Target="https://www.sportsoddshistory.com/soccer-team/?sa=soccer&amp;Team=FC+Torino" TargetMode="External"/><Relationship Id="rId5" Type="http://schemas.openxmlformats.org/officeDocument/2006/relationships/hyperlink" Target="https://www.sportsoddshistory.com/soccer-main/?y=2025-2026&amp;sa=soccer&amp;a=isa&amp;b=two&amp;o=01" TargetMode="External"/><Relationship Id="rId147" Type="http://schemas.openxmlformats.org/officeDocument/2006/relationships/hyperlink" Target="https://www.sportsoddshistory.com/soccer-team/?sa=soccer&amp;Team=Spezia" TargetMode="External"/><Relationship Id="rId6" Type="http://schemas.openxmlformats.org/officeDocument/2006/relationships/hyperlink" Target="https://www.sportsoddshistory.com/soccer-main/?y=2025-2026&amp;sa=soccer&amp;a=isa&amp;b=two&amp;o=02" TargetMode="External"/><Relationship Id="rId146" Type="http://schemas.openxmlformats.org/officeDocument/2006/relationships/hyperlink" Target="https://www.sportsoddshistory.com/soccer-team/?sa=soccer&amp;Team=FC+Genoa" TargetMode="External"/><Relationship Id="rId7" Type="http://schemas.openxmlformats.org/officeDocument/2006/relationships/hyperlink" Target="https://www.sportsoddshistory.com/soccer-main/?y=2025-2026&amp;sa=soccer&amp;a=isa&amp;b=two&amp;o=03" TargetMode="External"/><Relationship Id="rId145" Type="http://schemas.openxmlformats.org/officeDocument/2006/relationships/hyperlink" Target="https://www.sportsoddshistory.com/soccer-team/?sa=soccer&amp;Team=Cagliari" TargetMode="External"/><Relationship Id="rId8" Type="http://schemas.openxmlformats.org/officeDocument/2006/relationships/hyperlink" Target="https://www.sportsoddshistory.com/soccer-main/?y=2025-2026&amp;sa=soccer&amp;a=isa&amp;b=two&amp;o=04" TargetMode="External"/><Relationship Id="rId144" Type="http://schemas.openxmlformats.org/officeDocument/2006/relationships/hyperlink" Target="https://www.sportsoddshistory.com/soccer-team/?sa=soccer&amp;Team=Udinese" TargetMode="External"/><Relationship Id="rId73" Type="http://schemas.openxmlformats.org/officeDocument/2006/relationships/hyperlink" Target="https://www.sportsoddshistory.com/soccer-team/?sa=soccer&amp;Team=AS+Roma" TargetMode="External"/><Relationship Id="rId72" Type="http://schemas.openxmlformats.org/officeDocument/2006/relationships/hyperlink" Target="https://www.sportsoddshistory.com/soccer-team/?sa=soccer&amp;Team=AC+Milan" TargetMode="External"/><Relationship Id="rId75" Type="http://schemas.openxmlformats.org/officeDocument/2006/relationships/hyperlink" Target="https://www.sportsoddshistory.com/soccer-team/?sa=soccer&amp;Team=Atalanta+Bergamo" TargetMode="External"/><Relationship Id="rId74" Type="http://schemas.openxmlformats.org/officeDocument/2006/relationships/hyperlink" Target="https://www.sportsoddshistory.com/soccer-team/?sa=soccer&amp;Team=Fiorentina" TargetMode="External"/><Relationship Id="rId77" Type="http://schemas.openxmlformats.org/officeDocument/2006/relationships/hyperlink" Target="https://www.sportsoddshistory.com/soccer-team/?sa=soccer&amp;Team=SSC+Napoli" TargetMode="External"/><Relationship Id="rId76" Type="http://schemas.openxmlformats.org/officeDocument/2006/relationships/hyperlink" Target="https://www.sportsoddshistory.com/soccer-team/?sa=soccer&amp;Team=Lazio+Rome" TargetMode="External"/><Relationship Id="rId79" Type="http://schemas.openxmlformats.org/officeDocument/2006/relationships/hyperlink" Target="https://www.sportsoddshistory.com/soccer-team/?sa=soccer&amp;Team=FC+Torino" TargetMode="External"/><Relationship Id="rId78" Type="http://schemas.openxmlformats.org/officeDocument/2006/relationships/hyperlink" Target="https://www.sportsoddshistory.com/soccer-team/?sa=soccer&amp;Team=FC+Bologna" TargetMode="External"/><Relationship Id="rId71" Type="http://schemas.openxmlformats.org/officeDocument/2006/relationships/hyperlink" Target="https://www.sportsoddshistory.com/soccer-team/?sa=soccer&amp;Team=Juventus" TargetMode="External"/><Relationship Id="rId70" Type="http://schemas.openxmlformats.org/officeDocument/2006/relationships/hyperlink" Target="https://www.sportsoddshistory.com/soccer-team/?sa=soccer&amp;Team=Inter+Milan" TargetMode="External"/><Relationship Id="rId139" Type="http://schemas.openxmlformats.org/officeDocument/2006/relationships/hyperlink" Target="https://www.sportsoddshistory.com/soccer-team/?sa=soccer&amp;Team=US+Sassuolo" TargetMode="External"/><Relationship Id="rId138" Type="http://schemas.openxmlformats.org/officeDocument/2006/relationships/hyperlink" Target="https://www.sportsoddshistory.com/soccer-team/?sa=soccer&amp;Team=Hellas+Verona" TargetMode="External"/><Relationship Id="rId137" Type="http://schemas.openxmlformats.org/officeDocument/2006/relationships/hyperlink" Target="https://www.sportsoddshistory.com/soccer-team/?sa=soccer&amp;Team=Fiorentina" TargetMode="External"/><Relationship Id="rId132" Type="http://schemas.openxmlformats.org/officeDocument/2006/relationships/hyperlink" Target="https://www.sportsoddshistory.com/soccer-team/?sa=soccer&amp;Team=Napoli" TargetMode="External"/><Relationship Id="rId131" Type="http://schemas.openxmlformats.org/officeDocument/2006/relationships/hyperlink" Target="https://www.sportsoddshistory.com/soccer-team/?sa=soccer&amp;Team=Inter+Milan" TargetMode="External"/><Relationship Id="rId130" Type="http://schemas.openxmlformats.org/officeDocument/2006/relationships/hyperlink" Target="https://www.sportsoddshistory.com/soccer-team/?sa=soccer&amp;Team=AC+Milan" TargetMode="External"/><Relationship Id="rId136" Type="http://schemas.openxmlformats.org/officeDocument/2006/relationships/hyperlink" Target="https://www.sportsoddshistory.com/soccer-team/?sa=soccer&amp;Team=Lazio+Rome" TargetMode="External"/><Relationship Id="rId135" Type="http://schemas.openxmlformats.org/officeDocument/2006/relationships/hyperlink" Target="https://www.sportsoddshistory.com/soccer-team/?sa=soccer&amp;Team=AS+Roma" TargetMode="External"/><Relationship Id="rId134" Type="http://schemas.openxmlformats.org/officeDocument/2006/relationships/hyperlink" Target="https://www.sportsoddshistory.com/soccer-team/?sa=soccer&amp;Team=Atalanta+Bergamo" TargetMode="External"/><Relationship Id="rId133" Type="http://schemas.openxmlformats.org/officeDocument/2006/relationships/hyperlink" Target="https://www.sportsoddshistory.com/soccer-team/?sa=soccer&amp;Team=Juventus" TargetMode="External"/><Relationship Id="rId62" Type="http://schemas.openxmlformats.org/officeDocument/2006/relationships/hyperlink" Target="https://www.sportsoddshistory.com/soccer-main/?y=2023-2024&amp;sa=soccer&amp;a=isa&amp;b=two&amp;o=10" TargetMode="External"/><Relationship Id="rId61" Type="http://schemas.openxmlformats.org/officeDocument/2006/relationships/hyperlink" Target="https://www.sportsoddshistory.com/soccer-main/?y=2023-2024&amp;sa=soccer&amp;a=isa&amp;b=two&amp;o=p2" TargetMode="External"/><Relationship Id="rId64" Type="http://schemas.openxmlformats.org/officeDocument/2006/relationships/hyperlink" Target="https://www.sportsoddshistory.com/soccer-main/?y=2023-2024&amp;sa=soccer&amp;a=isa&amp;b=two&amp;o=12" TargetMode="External"/><Relationship Id="rId63" Type="http://schemas.openxmlformats.org/officeDocument/2006/relationships/hyperlink" Target="https://www.sportsoddshistory.com/soccer-main/?y=2023-2024&amp;sa=soccer&amp;a=isa&amp;b=two&amp;o=11" TargetMode="External"/><Relationship Id="rId66" Type="http://schemas.openxmlformats.org/officeDocument/2006/relationships/hyperlink" Target="https://www.sportsoddshistory.com/soccer-main/?y=2023-2024&amp;sa=soccer&amp;a=isa&amp;b=two&amp;o=02" TargetMode="External"/><Relationship Id="rId172" Type="http://schemas.openxmlformats.org/officeDocument/2006/relationships/hyperlink" Target="https://www.sportsoddshistory.com/soccer-team/?sa=soccer&amp;Team=FC+Torino" TargetMode="External"/><Relationship Id="rId65" Type="http://schemas.openxmlformats.org/officeDocument/2006/relationships/hyperlink" Target="https://www.sportsoddshistory.com/soccer-main/?y=2023-2024&amp;sa=soccer&amp;a=isa&amp;b=two&amp;o=01" TargetMode="External"/><Relationship Id="rId171" Type="http://schemas.openxmlformats.org/officeDocument/2006/relationships/hyperlink" Target="https://www.sportsoddshistory.com/soccer-team/?sa=soccer&amp;Team=Sampdoria+Genova" TargetMode="External"/><Relationship Id="rId68" Type="http://schemas.openxmlformats.org/officeDocument/2006/relationships/hyperlink" Target="https://www.sportsoddshistory.com/soccer-main/?y=2023-2024&amp;sa=soccer&amp;a=isa&amp;b=two&amp;o=04" TargetMode="External"/><Relationship Id="rId170" Type="http://schemas.openxmlformats.org/officeDocument/2006/relationships/hyperlink" Target="https://www.sportsoddshistory.com/soccer-team/?sa=soccer&amp;Team=AC+Fiorentina" TargetMode="External"/><Relationship Id="rId67" Type="http://schemas.openxmlformats.org/officeDocument/2006/relationships/hyperlink" Target="https://www.sportsoddshistory.com/soccer-main/?y=2023-2024&amp;sa=soccer&amp;a=isa&amp;b=two&amp;o=03" TargetMode="External"/><Relationship Id="rId60" Type="http://schemas.openxmlformats.org/officeDocument/2006/relationships/hyperlink" Target="https://www.sportsoddshistory.com/soccer-main/?y=2023-2024&amp;sa=soccer&amp;a=isa&amp;b=two&amp;o=p1" TargetMode="External"/><Relationship Id="rId165" Type="http://schemas.openxmlformats.org/officeDocument/2006/relationships/hyperlink" Target="https://www.sportsoddshistory.com/soccer-team/?sa=soccer&amp;Team=Lazio+Rome" TargetMode="External"/><Relationship Id="rId69" Type="http://schemas.openxmlformats.org/officeDocument/2006/relationships/hyperlink" Target="https://www.sportsoddshistory.com/soccer-main/?y=2023-2024&amp;sa=soccer&amp;a=isa&amp;b=two&amp;o=05" TargetMode="External"/><Relationship Id="rId164" Type="http://schemas.openxmlformats.org/officeDocument/2006/relationships/hyperlink" Target="https://www.sportsoddshistory.com/soccer-team/?sa=soccer&amp;Team=AS+Roma" TargetMode="External"/><Relationship Id="rId163" Type="http://schemas.openxmlformats.org/officeDocument/2006/relationships/hyperlink" Target="https://www.sportsoddshistory.com/soccer-team/?sa=soccer&amp;Team=Napoli" TargetMode="External"/><Relationship Id="rId162" Type="http://schemas.openxmlformats.org/officeDocument/2006/relationships/hyperlink" Target="https://www.sportsoddshistory.com/soccer-team/?sa=soccer&amp;Team=Atalanta+Bergamo" TargetMode="External"/><Relationship Id="rId169" Type="http://schemas.openxmlformats.org/officeDocument/2006/relationships/hyperlink" Target="https://www.sportsoddshistory.com/soccer-team/?sa=soccer&amp;Team=Udinese" TargetMode="External"/><Relationship Id="rId168" Type="http://schemas.openxmlformats.org/officeDocument/2006/relationships/hyperlink" Target="https://www.sportsoddshistory.com/soccer-team/?sa=soccer&amp;Team=FC+Bologna" TargetMode="External"/><Relationship Id="rId167" Type="http://schemas.openxmlformats.org/officeDocument/2006/relationships/hyperlink" Target="https://www.sportsoddshistory.com/soccer-team/?sa=soccer&amp;Team=Hellas+Verona" TargetMode="External"/><Relationship Id="rId166" Type="http://schemas.openxmlformats.org/officeDocument/2006/relationships/hyperlink" Target="https://www.sportsoddshistory.com/soccer-team/?sa=soccer&amp;Team=US+Sassuolo" TargetMode="External"/><Relationship Id="rId51" Type="http://schemas.openxmlformats.org/officeDocument/2006/relationships/hyperlink" Target="https://www.sportsoddshistory.com/soccer-team/?sa=soccer&amp;Team=Como+1907" TargetMode="External"/><Relationship Id="rId50" Type="http://schemas.openxmlformats.org/officeDocument/2006/relationships/hyperlink" Target="https://www.sportsoddshistory.com/soccer-team/?sa=soccer&amp;Team=Udinese" TargetMode="External"/><Relationship Id="rId53" Type="http://schemas.openxmlformats.org/officeDocument/2006/relationships/hyperlink" Target="https://www.sportsoddshistory.com/soccer-team/?sa=soccer&amp;Team=FC+Genoa" TargetMode="External"/><Relationship Id="rId52" Type="http://schemas.openxmlformats.org/officeDocument/2006/relationships/hyperlink" Target="https://www.sportsoddshistory.com/soccer-team/?sa=soccer&amp;Team=FC+Empoli" TargetMode="External"/><Relationship Id="rId55" Type="http://schemas.openxmlformats.org/officeDocument/2006/relationships/hyperlink" Target="https://www.sportsoddshistory.com/soccer-team/?sa=soccer&amp;Team=AC+Monza" TargetMode="External"/><Relationship Id="rId161" Type="http://schemas.openxmlformats.org/officeDocument/2006/relationships/hyperlink" Target="https://www.sportsoddshistory.com/soccer-team/?sa=soccer&amp;Team=AC+Milan" TargetMode="External"/><Relationship Id="rId54" Type="http://schemas.openxmlformats.org/officeDocument/2006/relationships/hyperlink" Target="https://www.sportsoddshistory.com/soccer-team/?sa=soccer&amp;Team=Parma+Calcio" TargetMode="External"/><Relationship Id="rId160" Type="http://schemas.openxmlformats.org/officeDocument/2006/relationships/hyperlink" Target="https://www.sportsoddshistory.com/soccer-team/?sa=soccer&amp;Team=Juventus" TargetMode="External"/><Relationship Id="rId57" Type="http://schemas.openxmlformats.org/officeDocument/2006/relationships/hyperlink" Target="https://www.sportsoddshistory.com/soccer-team/?sa=soccer&amp;Team=Hellas+Verona" TargetMode="External"/><Relationship Id="rId56" Type="http://schemas.openxmlformats.org/officeDocument/2006/relationships/hyperlink" Target="https://www.sportsoddshistory.com/soccer-team/?sa=soccer&amp;Team=Cagliari+Calcio" TargetMode="External"/><Relationship Id="rId159" Type="http://schemas.openxmlformats.org/officeDocument/2006/relationships/hyperlink" Target="https://www.sportsoddshistory.com/soccer-team/?sa=soccer&amp;Team=Inter+Milan" TargetMode="External"/><Relationship Id="rId59" Type="http://schemas.openxmlformats.org/officeDocument/2006/relationships/hyperlink" Target="https://www.sportsoddshistory.com/soccer-team/?sa=soccer&amp;Team=Venezia" TargetMode="External"/><Relationship Id="rId154" Type="http://schemas.openxmlformats.org/officeDocument/2006/relationships/hyperlink" Target="https://www.sportsoddshistory.com/soccer-main/?y=2020-2021&amp;sa=soccer&amp;a=isa&amp;b=two&amp;o=01" TargetMode="External"/><Relationship Id="rId58" Type="http://schemas.openxmlformats.org/officeDocument/2006/relationships/hyperlink" Target="https://www.sportsoddshistory.com/soccer-team/?sa=soccer&amp;Team=US+Lecce" TargetMode="External"/><Relationship Id="rId153" Type="http://schemas.openxmlformats.org/officeDocument/2006/relationships/hyperlink" Target="https://www.sportsoddshistory.com/soccer-main/?y=2020-2021&amp;sa=soccer&amp;a=isa&amp;b=two&amp;o=12" TargetMode="External"/><Relationship Id="rId152" Type="http://schemas.openxmlformats.org/officeDocument/2006/relationships/hyperlink" Target="https://www.sportsoddshistory.com/soccer-main/?y=2020-2021&amp;sa=soccer&amp;a=isa&amp;b=two&amp;o=11" TargetMode="External"/><Relationship Id="rId151" Type="http://schemas.openxmlformats.org/officeDocument/2006/relationships/hyperlink" Target="https://www.sportsoddshistory.com/soccer-main/?y=2020-2021&amp;sa=soccer&amp;a=isa&amp;b=two&amp;o=10" TargetMode="External"/><Relationship Id="rId158" Type="http://schemas.openxmlformats.org/officeDocument/2006/relationships/hyperlink" Target="https://www.sportsoddshistory.com/soccer-main/?y=2020-2021&amp;sa=soccer&amp;a=isa&amp;b=two&amp;o=05" TargetMode="External"/><Relationship Id="rId157" Type="http://schemas.openxmlformats.org/officeDocument/2006/relationships/hyperlink" Target="https://www.sportsoddshistory.com/soccer-main/?y=2020-2021&amp;sa=soccer&amp;a=isa&amp;b=two&amp;o=04" TargetMode="External"/><Relationship Id="rId156" Type="http://schemas.openxmlformats.org/officeDocument/2006/relationships/hyperlink" Target="https://www.sportsoddshistory.com/soccer-main/?y=2020-2021&amp;sa=soccer&amp;a=isa&amp;b=two&amp;o=03" TargetMode="External"/><Relationship Id="rId155" Type="http://schemas.openxmlformats.org/officeDocument/2006/relationships/hyperlink" Target="https://www.sportsoddshistory.com/soccer-main/?y=2020-2021&amp;sa=soccer&amp;a=isa&amp;b=two&amp;o=02" TargetMode="External"/><Relationship Id="rId107" Type="http://schemas.openxmlformats.org/officeDocument/2006/relationships/hyperlink" Target="https://www.sportsoddshistory.com/soccer-team/?sa=soccer&amp;Team=Fiorentina" TargetMode="External"/><Relationship Id="rId106" Type="http://schemas.openxmlformats.org/officeDocument/2006/relationships/hyperlink" Target="https://www.sportsoddshistory.com/soccer-team/?sa=soccer&amp;Team=Atalanta+Bergamo" TargetMode="External"/><Relationship Id="rId105" Type="http://schemas.openxmlformats.org/officeDocument/2006/relationships/hyperlink" Target="https://www.sportsoddshistory.com/soccer-team/?sa=soccer&amp;Team=Inter+Milan" TargetMode="External"/><Relationship Id="rId104" Type="http://schemas.openxmlformats.org/officeDocument/2006/relationships/hyperlink" Target="https://www.sportsoddshistory.com/soccer-team/?sa=soccer&amp;Team=AS+Roma" TargetMode="External"/><Relationship Id="rId109" Type="http://schemas.openxmlformats.org/officeDocument/2006/relationships/hyperlink" Target="https://www.sportsoddshistory.com/soccer-team/?sa=soccer&amp;Team=Udinese" TargetMode="External"/><Relationship Id="rId108" Type="http://schemas.openxmlformats.org/officeDocument/2006/relationships/hyperlink" Target="https://www.sportsoddshistory.com/soccer-team/?sa=soccer&amp;Team=FC+Torino" TargetMode="External"/><Relationship Id="rId103" Type="http://schemas.openxmlformats.org/officeDocument/2006/relationships/hyperlink" Target="https://www.sportsoddshistory.com/soccer-team/?sa=soccer&amp;Team=Lazio+Rome" TargetMode="External"/><Relationship Id="rId102" Type="http://schemas.openxmlformats.org/officeDocument/2006/relationships/hyperlink" Target="https://www.sportsoddshistory.com/soccer-team/?sa=soccer&amp;Team=Juventus" TargetMode="External"/><Relationship Id="rId101" Type="http://schemas.openxmlformats.org/officeDocument/2006/relationships/hyperlink" Target="https://www.sportsoddshistory.com/soccer-team/?sa=soccer&amp;Team=AC+Milan" TargetMode="External"/><Relationship Id="rId100" Type="http://schemas.openxmlformats.org/officeDocument/2006/relationships/hyperlink" Target="https://www.sportsoddshistory.com/soccer-team/?sa=soccer&amp;Team=Napoli" TargetMode="External"/><Relationship Id="rId129" Type="http://schemas.openxmlformats.org/officeDocument/2006/relationships/hyperlink" Target="https://www.sportsoddshistory.com/soccer-main/?y=2021-2022&amp;sa=soccer&amp;a=isa&amp;b=two&amp;o=05" TargetMode="External"/><Relationship Id="rId128" Type="http://schemas.openxmlformats.org/officeDocument/2006/relationships/hyperlink" Target="https://www.sportsoddshistory.com/soccer-main/?y=2021-2022&amp;sa=soccer&amp;a=isa&amp;b=two&amp;o=04" TargetMode="External"/><Relationship Id="rId127" Type="http://schemas.openxmlformats.org/officeDocument/2006/relationships/hyperlink" Target="https://www.sportsoddshistory.com/soccer-main/?y=2021-2022&amp;sa=soccer&amp;a=isa&amp;b=two&amp;o=03" TargetMode="External"/><Relationship Id="rId126" Type="http://schemas.openxmlformats.org/officeDocument/2006/relationships/hyperlink" Target="https://www.sportsoddshistory.com/soccer-main/?y=2021-2022&amp;sa=soccer&amp;a=isa&amp;b=two&amp;o=02" TargetMode="External"/><Relationship Id="rId121" Type="http://schemas.openxmlformats.org/officeDocument/2006/relationships/hyperlink" Target="https://www.sportsoddshistory.com/soccer-main/?y=2021-2022&amp;sa=soccer&amp;a=isa&amp;b=two&amp;o=p2" TargetMode="External"/><Relationship Id="rId120" Type="http://schemas.openxmlformats.org/officeDocument/2006/relationships/hyperlink" Target="https://www.sportsoddshistory.com/soccer-main/?y=2021-2022&amp;sa=soccer&amp;a=isa&amp;b=two&amp;o=p1" TargetMode="External"/><Relationship Id="rId125" Type="http://schemas.openxmlformats.org/officeDocument/2006/relationships/hyperlink" Target="https://www.sportsoddshistory.com/soccer-main/?y=2021-2022&amp;sa=soccer&amp;a=isa&amp;b=two&amp;o=01" TargetMode="External"/><Relationship Id="rId124" Type="http://schemas.openxmlformats.org/officeDocument/2006/relationships/hyperlink" Target="https://www.sportsoddshistory.com/soccer-main/?y=2021-2022&amp;sa=soccer&amp;a=isa&amp;b=two&amp;o=12" TargetMode="External"/><Relationship Id="rId123" Type="http://schemas.openxmlformats.org/officeDocument/2006/relationships/hyperlink" Target="https://www.sportsoddshistory.com/soccer-main/?y=2021-2022&amp;sa=soccer&amp;a=isa&amp;b=two&amp;o=11" TargetMode="External"/><Relationship Id="rId122" Type="http://schemas.openxmlformats.org/officeDocument/2006/relationships/hyperlink" Target="https://www.sportsoddshistory.com/soccer-main/?y=2021-2022&amp;sa=soccer&amp;a=isa&amp;b=two&amp;o=10" TargetMode="External"/><Relationship Id="rId95" Type="http://schemas.openxmlformats.org/officeDocument/2006/relationships/hyperlink" Target="https://www.sportsoddshistory.com/soccer-main/?y=2022-2023&amp;sa=soccer&amp;a=isa&amp;b=two&amp;o=01" TargetMode="External"/><Relationship Id="rId94" Type="http://schemas.openxmlformats.org/officeDocument/2006/relationships/hyperlink" Target="https://www.sportsoddshistory.com/soccer-main/?y=2022-2023&amp;sa=soccer&amp;a=isa&amp;b=two&amp;o=12" TargetMode="External"/><Relationship Id="rId97" Type="http://schemas.openxmlformats.org/officeDocument/2006/relationships/hyperlink" Target="https://www.sportsoddshistory.com/soccer-main/?y=2022-2023&amp;sa=soccer&amp;a=isa&amp;b=two&amp;o=03" TargetMode="External"/><Relationship Id="rId96" Type="http://schemas.openxmlformats.org/officeDocument/2006/relationships/hyperlink" Target="https://www.sportsoddshistory.com/soccer-main/?y=2022-2023&amp;sa=soccer&amp;a=isa&amp;b=two&amp;o=02" TargetMode="External"/><Relationship Id="rId99" Type="http://schemas.openxmlformats.org/officeDocument/2006/relationships/hyperlink" Target="https://www.sportsoddshistory.com/soccer-main/?y=2022-2023&amp;sa=soccer&amp;a=isa&amp;b=two&amp;o=05" TargetMode="External"/><Relationship Id="rId98" Type="http://schemas.openxmlformats.org/officeDocument/2006/relationships/hyperlink" Target="https://www.sportsoddshistory.com/soccer-main/?y=2022-2023&amp;sa=soccer&amp;a=isa&amp;b=two&amp;o=04" TargetMode="External"/><Relationship Id="rId91" Type="http://schemas.openxmlformats.org/officeDocument/2006/relationships/hyperlink" Target="https://www.sportsoddshistory.com/soccer-main/?y=2022-2023&amp;sa=soccer&amp;a=isa&amp;b=two&amp;o=p2" TargetMode="External"/><Relationship Id="rId90" Type="http://schemas.openxmlformats.org/officeDocument/2006/relationships/hyperlink" Target="https://www.sportsoddshistory.com/soccer-main/?y=2022-2023&amp;sa=soccer&amp;a=isa&amp;b=two&amp;o=p1" TargetMode="External"/><Relationship Id="rId93" Type="http://schemas.openxmlformats.org/officeDocument/2006/relationships/hyperlink" Target="https://www.sportsoddshistory.com/soccer-main/?y=2022-2023&amp;sa=soccer&amp;a=isa&amp;b=two&amp;o=11" TargetMode="External"/><Relationship Id="rId92" Type="http://schemas.openxmlformats.org/officeDocument/2006/relationships/hyperlink" Target="https://www.sportsoddshistory.com/soccer-main/?y=2022-2023&amp;sa=soccer&amp;a=isa&amp;b=two&amp;o=10" TargetMode="External"/><Relationship Id="rId118" Type="http://schemas.openxmlformats.org/officeDocument/2006/relationships/hyperlink" Target="https://www.sportsoddshistory.com/soccer-team/?sa=soccer&amp;Team=US+Cremonese" TargetMode="External"/><Relationship Id="rId117" Type="http://schemas.openxmlformats.org/officeDocument/2006/relationships/hyperlink" Target="https://www.sportsoddshistory.com/soccer-team/?sa=soccer&amp;Team=Sampdoria+Genova" TargetMode="External"/><Relationship Id="rId116" Type="http://schemas.openxmlformats.org/officeDocument/2006/relationships/hyperlink" Target="https://www.sportsoddshistory.com/soccer-team/?sa=soccer&amp;Team=FC+Empoli" TargetMode="External"/><Relationship Id="rId115" Type="http://schemas.openxmlformats.org/officeDocument/2006/relationships/hyperlink" Target="https://www.sportsoddshistory.com/soccer-team/?sa=soccer&amp;Team=Spezia" TargetMode="External"/><Relationship Id="rId119" Type="http://schemas.openxmlformats.org/officeDocument/2006/relationships/hyperlink" Target="https://www.sportsoddshistory.com/soccer-team/?sa=soccer&amp;Team=US+Lecce" TargetMode="External"/><Relationship Id="rId110" Type="http://schemas.openxmlformats.org/officeDocument/2006/relationships/hyperlink" Target="https://www.sportsoddshistory.com/soccer-team/?sa=soccer&amp;Team=AC+Monza" TargetMode="External"/><Relationship Id="rId114" Type="http://schemas.openxmlformats.org/officeDocument/2006/relationships/hyperlink" Target="https://www.sportsoddshistory.com/soccer-team/?sa=soccer&amp;Team=Hellas+Verona" TargetMode="External"/><Relationship Id="rId113" Type="http://schemas.openxmlformats.org/officeDocument/2006/relationships/hyperlink" Target="https://www.sportsoddshistory.com/soccer-team/?sa=soccer&amp;Team=Salernitana" TargetMode="External"/><Relationship Id="rId112" Type="http://schemas.openxmlformats.org/officeDocument/2006/relationships/hyperlink" Target="https://www.sportsoddshistory.com/soccer-team/?sa=soccer&amp;Team=FC+Bologna" TargetMode="External"/><Relationship Id="rId111" Type="http://schemas.openxmlformats.org/officeDocument/2006/relationships/hyperlink" Target="https://www.sportsoddshistory.com/soccer-team/?sa=soccer&amp;Team=US+Sassuolo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rtsoddshistory.com/soccer-team/?sa=soccer&amp;Team=FC+Barcelona" TargetMode="External"/><Relationship Id="rId42" Type="http://schemas.openxmlformats.org/officeDocument/2006/relationships/hyperlink" Target="https://www.sportsoddshistory.com/soccer-team/?sa=soccer&amp;Team=Atletico+Madrid" TargetMode="External"/><Relationship Id="rId41" Type="http://schemas.openxmlformats.org/officeDocument/2006/relationships/hyperlink" Target="https://www.sportsoddshistory.com/soccer-team/?sa=soccer&amp;Team=Real+Madrid" TargetMode="External"/><Relationship Id="rId44" Type="http://schemas.openxmlformats.org/officeDocument/2006/relationships/hyperlink" Target="https://www.sportsoddshistory.com/soccer-team/?sa=soccer&amp;Team=Villarreal+CF" TargetMode="External"/><Relationship Id="rId43" Type="http://schemas.openxmlformats.org/officeDocument/2006/relationships/hyperlink" Target="https://www.sportsoddshistory.com/soccer-team/?sa=soccer&amp;Team=Athletic+Bilbao" TargetMode="External"/><Relationship Id="rId46" Type="http://schemas.openxmlformats.org/officeDocument/2006/relationships/hyperlink" Target="https://www.sportsoddshistory.com/soccer-team/?sa=soccer&amp;Team=Real+Betis" TargetMode="External"/><Relationship Id="rId45" Type="http://schemas.openxmlformats.org/officeDocument/2006/relationships/hyperlink" Target="https://www.sportsoddshistory.com/soccer-team/?sa=soccer&amp;Team=Real+Sociedad" TargetMode="External"/><Relationship Id="rId48" Type="http://schemas.openxmlformats.org/officeDocument/2006/relationships/hyperlink" Target="https://www.sportsoddshistory.com/soccer-team/?sa=soccer&amp;Team=Sevilla" TargetMode="External"/><Relationship Id="rId47" Type="http://schemas.openxmlformats.org/officeDocument/2006/relationships/hyperlink" Target="https://www.sportsoddshistory.com/soccer-team/?sa=soccer&amp;Team=Girona+FC" TargetMode="External"/><Relationship Id="rId49" Type="http://schemas.openxmlformats.org/officeDocument/2006/relationships/hyperlink" Target="https://www.sportsoddshistory.com/soccer-team/?sa=soccer&amp;Team=Celta+de+Vigo" TargetMode="External"/><Relationship Id="rId31" Type="http://schemas.openxmlformats.org/officeDocument/2006/relationships/hyperlink" Target="https://www.sportsoddshistory.com/soccer-main/?y=2024-2025&amp;sa=soccer&amp;a=spd&amp;b=two&amp;o=p2" TargetMode="External"/><Relationship Id="rId30" Type="http://schemas.openxmlformats.org/officeDocument/2006/relationships/hyperlink" Target="https://www.sportsoddshistory.com/soccer-main/?y=2024-2025&amp;sa=soccer&amp;a=spd&amp;b=two&amp;o=p1" TargetMode="External"/><Relationship Id="rId33" Type="http://schemas.openxmlformats.org/officeDocument/2006/relationships/hyperlink" Target="https://www.sportsoddshistory.com/soccer-main/?y=2024-2025&amp;sa=soccer&amp;a=spd&amp;b=two&amp;o=11" TargetMode="External"/><Relationship Id="rId32" Type="http://schemas.openxmlformats.org/officeDocument/2006/relationships/hyperlink" Target="https://www.sportsoddshistory.com/soccer-main/?y=2024-2025&amp;sa=soccer&amp;a=spd&amp;b=two&amp;o=10" TargetMode="External"/><Relationship Id="rId35" Type="http://schemas.openxmlformats.org/officeDocument/2006/relationships/hyperlink" Target="https://www.sportsoddshistory.com/soccer-main/?y=2024-2025&amp;sa=soccer&amp;a=spd&amp;b=two&amp;o=01" TargetMode="External"/><Relationship Id="rId34" Type="http://schemas.openxmlformats.org/officeDocument/2006/relationships/hyperlink" Target="https://www.sportsoddshistory.com/soccer-main/?y=2024-2025&amp;sa=soccer&amp;a=spd&amp;b=two&amp;o=12" TargetMode="External"/><Relationship Id="rId37" Type="http://schemas.openxmlformats.org/officeDocument/2006/relationships/hyperlink" Target="https://www.sportsoddshistory.com/soccer-main/?y=2024-2025&amp;sa=soccer&amp;a=spd&amp;b=two&amp;o=03" TargetMode="External"/><Relationship Id="rId176" Type="http://schemas.openxmlformats.org/officeDocument/2006/relationships/hyperlink" Target="https://www.sportsoddshistory.com/soccer-team/?sa=soccer&amp;Team=Huesca" TargetMode="External"/><Relationship Id="rId36" Type="http://schemas.openxmlformats.org/officeDocument/2006/relationships/hyperlink" Target="https://www.sportsoddshistory.com/soccer-main/?y=2024-2025&amp;sa=soccer&amp;a=spd&amp;b=two&amp;o=02" TargetMode="External"/><Relationship Id="rId175" Type="http://schemas.openxmlformats.org/officeDocument/2006/relationships/hyperlink" Target="https://www.sportsoddshistory.com/soccer-team/?sa=soccer&amp;Team=Cadiz+CF" TargetMode="External"/><Relationship Id="rId39" Type="http://schemas.openxmlformats.org/officeDocument/2006/relationships/hyperlink" Target="https://www.sportsoddshistory.com/soccer-main/?y=2024-2025&amp;sa=soccer&amp;a=spd&amp;b=two&amp;o=05" TargetMode="External"/><Relationship Id="rId174" Type="http://schemas.openxmlformats.org/officeDocument/2006/relationships/hyperlink" Target="https://www.sportsoddshistory.com/soccer-team/?sa=soccer&amp;Team=Valladolid" TargetMode="External"/><Relationship Id="rId38" Type="http://schemas.openxmlformats.org/officeDocument/2006/relationships/hyperlink" Target="https://www.sportsoddshistory.com/soccer-main/?y=2024-2025&amp;sa=soccer&amp;a=spd&amp;b=two&amp;o=04" TargetMode="External"/><Relationship Id="rId173" Type="http://schemas.openxmlformats.org/officeDocument/2006/relationships/hyperlink" Target="https://www.sportsoddshistory.com/soccer-team/?sa=soccer&amp;Team=UD+Levante" TargetMode="External"/><Relationship Id="rId178" Type="http://schemas.openxmlformats.org/officeDocument/2006/relationships/drawing" Target="../drawings/drawing5.xml"/><Relationship Id="rId177" Type="http://schemas.openxmlformats.org/officeDocument/2006/relationships/hyperlink" Target="https://www.sportsoddshistory.com/soccer-team/?sa=soccer&amp;Team=Elche" TargetMode="External"/><Relationship Id="rId20" Type="http://schemas.openxmlformats.org/officeDocument/2006/relationships/hyperlink" Target="https://www.sportsoddshistory.com/soccer-team/?sa=soccer&amp;Team=Celta+de+Vigo" TargetMode="External"/><Relationship Id="rId22" Type="http://schemas.openxmlformats.org/officeDocument/2006/relationships/hyperlink" Target="https://www.sportsoddshistory.com/soccer-team/?sa=soccer&amp;Team=Girona+FC" TargetMode="External"/><Relationship Id="rId21" Type="http://schemas.openxmlformats.org/officeDocument/2006/relationships/hyperlink" Target="https://www.sportsoddshistory.com/soccer-team/?sa=soccer&amp;Team=Espanyol" TargetMode="External"/><Relationship Id="rId24" Type="http://schemas.openxmlformats.org/officeDocument/2006/relationships/hyperlink" Target="https://www.sportsoddshistory.com/soccer-team/?sa=soccer&amp;Team=RCD+Mallorca" TargetMode="External"/><Relationship Id="rId23" Type="http://schemas.openxmlformats.org/officeDocument/2006/relationships/hyperlink" Target="https://www.sportsoddshistory.com/soccer-team/?sa=soccer&amp;Team=Deportivo+Alaves" TargetMode="External"/><Relationship Id="rId26" Type="http://schemas.openxmlformats.org/officeDocument/2006/relationships/hyperlink" Target="https://www.sportsoddshistory.com/soccer-team/?sa=soccer&amp;Team=Rayo+Vallecano" TargetMode="External"/><Relationship Id="rId25" Type="http://schemas.openxmlformats.org/officeDocument/2006/relationships/hyperlink" Target="https://www.sportsoddshistory.com/soccer-team/?sa=soccer&amp;Team=Osasuna" TargetMode="External"/><Relationship Id="rId28" Type="http://schemas.openxmlformats.org/officeDocument/2006/relationships/hyperlink" Target="https://www.sportsoddshistory.com/soccer-team/?sa=soccer&amp;Team=Real+Oviedo" TargetMode="External"/><Relationship Id="rId27" Type="http://schemas.openxmlformats.org/officeDocument/2006/relationships/hyperlink" Target="https://www.sportsoddshistory.com/soccer-team/?sa=soccer&amp;Team=Elche" TargetMode="External"/><Relationship Id="rId29" Type="http://schemas.openxmlformats.org/officeDocument/2006/relationships/hyperlink" Target="https://www.sportsoddshistory.com/soccer-team/?sa=soccer&amp;Team=UD+Levante" TargetMode="External"/><Relationship Id="rId11" Type="http://schemas.openxmlformats.org/officeDocument/2006/relationships/hyperlink" Target="https://www.sportsoddshistory.com/soccer-team/?sa=soccer&amp;Team=FC+Barcelona" TargetMode="External"/><Relationship Id="rId10" Type="http://schemas.openxmlformats.org/officeDocument/2006/relationships/hyperlink" Target="https://www.sportsoddshistory.com/soccer-team/?sa=soccer&amp;Team=Real+Madrid" TargetMode="External"/><Relationship Id="rId13" Type="http://schemas.openxmlformats.org/officeDocument/2006/relationships/hyperlink" Target="https://www.sportsoddshistory.com/soccer-team/?sa=soccer&amp;Team=Villarreal+CF" TargetMode="External"/><Relationship Id="rId12" Type="http://schemas.openxmlformats.org/officeDocument/2006/relationships/hyperlink" Target="https://www.sportsoddshistory.com/soccer-team/?sa=soccer&amp;Team=Atletico+Madrid" TargetMode="External"/><Relationship Id="rId15" Type="http://schemas.openxmlformats.org/officeDocument/2006/relationships/hyperlink" Target="https://www.sportsoddshistory.com/soccer-team/?sa=soccer&amp;Team=Athletic+Bilbao" TargetMode="External"/><Relationship Id="rId14" Type="http://schemas.openxmlformats.org/officeDocument/2006/relationships/hyperlink" Target="https://www.sportsoddshistory.com/soccer-team/?sa=soccer&amp;Team=Real+Betis" TargetMode="External"/><Relationship Id="rId17" Type="http://schemas.openxmlformats.org/officeDocument/2006/relationships/hyperlink" Target="https://www.sportsoddshistory.com/soccer-team/?sa=soccer&amp;Team=Sevilla" TargetMode="External"/><Relationship Id="rId16" Type="http://schemas.openxmlformats.org/officeDocument/2006/relationships/hyperlink" Target="https://www.sportsoddshistory.com/soccer-team/?sa=soccer&amp;Team=Getafe+CF" TargetMode="External"/><Relationship Id="rId19" Type="http://schemas.openxmlformats.org/officeDocument/2006/relationships/hyperlink" Target="https://www.sportsoddshistory.com/soccer-team/?sa=soccer&amp;Team=CF+Valencia" TargetMode="External"/><Relationship Id="rId18" Type="http://schemas.openxmlformats.org/officeDocument/2006/relationships/hyperlink" Target="https://www.sportsoddshistory.com/soccer-team/?sa=soccer&amp;Team=Real+Sociedad" TargetMode="External"/><Relationship Id="rId84" Type="http://schemas.openxmlformats.org/officeDocument/2006/relationships/hyperlink" Target="https://www.sportsoddshistory.com/soccer-team/?sa=soccer&amp;Team=RCD+Mallorca" TargetMode="External"/><Relationship Id="rId83" Type="http://schemas.openxmlformats.org/officeDocument/2006/relationships/hyperlink" Target="https://www.sportsoddshistory.com/soccer-team/?sa=soccer&amp;Team=Getafe+CF" TargetMode="External"/><Relationship Id="rId86" Type="http://schemas.openxmlformats.org/officeDocument/2006/relationships/hyperlink" Target="https://www.sportsoddshistory.com/soccer-team/?sa=soccer&amp;Team=Deportivo+Alaves" TargetMode="External"/><Relationship Id="rId85" Type="http://schemas.openxmlformats.org/officeDocument/2006/relationships/hyperlink" Target="https://www.sportsoddshistory.com/soccer-team/?sa=soccer&amp;Team=Cadiz+CF" TargetMode="External"/><Relationship Id="rId88" Type="http://schemas.openxmlformats.org/officeDocument/2006/relationships/hyperlink" Target="https://www.sportsoddshistory.com/soccer-team/?sa=soccer&amp;Team=Almeria" TargetMode="External"/><Relationship Id="rId150" Type="http://schemas.openxmlformats.org/officeDocument/2006/relationships/hyperlink" Target="https://www.sportsoddshistory.com/soccer-main/?y=2020-2021&amp;sa=soccer&amp;a=spd&amp;b=two&amp;o=10" TargetMode="External"/><Relationship Id="rId87" Type="http://schemas.openxmlformats.org/officeDocument/2006/relationships/hyperlink" Target="https://www.sportsoddshistory.com/soccer-team/?sa=soccer&amp;Team=Granada+CF" TargetMode="External"/><Relationship Id="rId89" Type="http://schemas.openxmlformats.org/officeDocument/2006/relationships/hyperlink" Target="https://www.sportsoddshistory.com/soccer-team/?sa=soccer&amp;Team=Las+Palmas" TargetMode="External"/><Relationship Id="rId80" Type="http://schemas.openxmlformats.org/officeDocument/2006/relationships/hyperlink" Target="https://www.sportsoddshistory.com/soccer-team/?sa=soccer&amp;Team=Celta+de+Vigo" TargetMode="External"/><Relationship Id="rId82" Type="http://schemas.openxmlformats.org/officeDocument/2006/relationships/hyperlink" Target="https://www.sportsoddshistory.com/soccer-team/?sa=soccer&amp;Team=Rayo+Vallecano" TargetMode="External"/><Relationship Id="rId81" Type="http://schemas.openxmlformats.org/officeDocument/2006/relationships/hyperlink" Target="https://www.sportsoddshistory.com/soccer-team/?sa=soccer&amp;Team=Osasuna" TargetMode="External"/><Relationship Id="rId1" Type="http://schemas.openxmlformats.org/officeDocument/2006/relationships/hyperlink" Target="https://www.sportsoddshistory.com/soccer-main/?y=2025-2026&amp;sa=soccer&amp;a=spd&amp;b=two&amp;o=p1" TargetMode="External"/><Relationship Id="rId2" Type="http://schemas.openxmlformats.org/officeDocument/2006/relationships/hyperlink" Target="https://www.sportsoddshistory.com/soccer-main/?y=2025-2026&amp;sa=soccer&amp;a=spd&amp;b=two&amp;o=10" TargetMode="External"/><Relationship Id="rId3" Type="http://schemas.openxmlformats.org/officeDocument/2006/relationships/hyperlink" Target="https://www.sportsoddshistory.com/soccer-main/?y=2025-2026&amp;sa=soccer&amp;a=spd&amp;b=two&amp;o=11" TargetMode="External"/><Relationship Id="rId149" Type="http://schemas.openxmlformats.org/officeDocument/2006/relationships/hyperlink" Target="https://www.sportsoddshistory.com/soccer-main/?y=2020-2021&amp;sa=soccer&amp;a=spd&amp;b=two&amp;o=p1" TargetMode="External"/><Relationship Id="rId4" Type="http://schemas.openxmlformats.org/officeDocument/2006/relationships/hyperlink" Target="https://www.sportsoddshistory.com/soccer-main/?y=2025-2026&amp;sa=soccer&amp;a=spd&amp;b=two&amp;o=12" TargetMode="External"/><Relationship Id="rId148" Type="http://schemas.openxmlformats.org/officeDocument/2006/relationships/hyperlink" Target="https://www.sportsoddshistory.com/soccer-team/?sa=soccer&amp;Team=Cadiz+CF" TargetMode="External"/><Relationship Id="rId9" Type="http://schemas.openxmlformats.org/officeDocument/2006/relationships/hyperlink" Target="https://www.sportsoddshistory.com/soccer-main/?y=2025-2026&amp;sa=soccer&amp;a=spd&amp;b=two&amp;o=05" TargetMode="External"/><Relationship Id="rId143" Type="http://schemas.openxmlformats.org/officeDocument/2006/relationships/hyperlink" Target="https://www.sportsoddshistory.com/soccer-team/?sa=soccer&amp;Team=Granada+CF" TargetMode="External"/><Relationship Id="rId142" Type="http://schemas.openxmlformats.org/officeDocument/2006/relationships/hyperlink" Target="https://www.sportsoddshistory.com/soccer-team/?sa=soccer&amp;Team=RCD+Mallorca" TargetMode="External"/><Relationship Id="rId141" Type="http://schemas.openxmlformats.org/officeDocument/2006/relationships/hyperlink" Target="https://www.sportsoddshistory.com/soccer-team/?sa=soccer&amp;Team=Espanyol" TargetMode="External"/><Relationship Id="rId140" Type="http://schemas.openxmlformats.org/officeDocument/2006/relationships/hyperlink" Target="https://www.sportsoddshistory.com/soccer-team/?sa=soccer&amp;Team=Osasuna" TargetMode="External"/><Relationship Id="rId5" Type="http://schemas.openxmlformats.org/officeDocument/2006/relationships/hyperlink" Target="https://www.sportsoddshistory.com/soccer-main/?y=2025-2026&amp;sa=soccer&amp;a=spd&amp;b=two&amp;o=01" TargetMode="External"/><Relationship Id="rId147" Type="http://schemas.openxmlformats.org/officeDocument/2006/relationships/hyperlink" Target="https://www.sportsoddshistory.com/soccer-team/?sa=soccer&amp;Team=Deportivo+Alaves" TargetMode="External"/><Relationship Id="rId6" Type="http://schemas.openxmlformats.org/officeDocument/2006/relationships/hyperlink" Target="https://www.sportsoddshistory.com/soccer-main/?y=2025-2026&amp;sa=soccer&amp;a=spd&amp;b=two&amp;o=02" TargetMode="External"/><Relationship Id="rId146" Type="http://schemas.openxmlformats.org/officeDocument/2006/relationships/hyperlink" Target="https://www.sportsoddshistory.com/soccer-team/?sa=soccer&amp;Team=Elche" TargetMode="External"/><Relationship Id="rId7" Type="http://schemas.openxmlformats.org/officeDocument/2006/relationships/hyperlink" Target="https://www.sportsoddshistory.com/soccer-main/?y=2025-2026&amp;sa=soccer&amp;a=spd&amp;b=two&amp;o=03" TargetMode="External"/><Relationship Id="rId145" Type="http://schemas.openxmlformats.org/officeDocument/2006/relationships/hyperlink" Target="https://www.sportsoddshistory.com/soccer-team/?sa=soccer&amp;Team=Getafe" TargetMode="External"/><Relationship Id="rId8" Type="http://schemas.openxmlformats.org/officeDocument/2006/relationships/hyperlink" Target="https://www.sportsoddshistory.com/soccer-main/?y=2025-2026&amp;sa=soccer&amp;a=spd&amp;b=two&amp;o=04" TargetMode="External"/><Relationship Id="rId144" Type="http://schemas.openxmlformats.org/officeDocument/2006/relationships/hyperlink" Target="https://www.sportsoddshistory.com/soccer-team/?sa=soccer&amp;Team=UD+Levante" TargetMode="External"/><Relationship Id="rId73" Type="http://schemas.openxmlformats.org/officeDocument/2006/relationships/hyperlink" Target="https://www.sportsoddshistory.com/soccer-team/?sa=soccer&amp;Team=Atletico+Madrid" TargetMode="External"/><Relationship Id="rId72" Type="http://schemas.openxmlformats.org/officeDocument/2006/relationships/hyperlink" Target="https://www.sportsoddshistory.com/soccer-team/?sa=soccer&amp;Team=Girona+FC" TargetMode="External"/><Relationship Id="rId75" Type="http://schemas.openxmlformats.org/officeDocument/2006/relationships/hyperlink" Target="https://www.sportsoddshistory.com/soccer-team/?sa=soccer&amp;Team=Real+Sociedad" TargetMode="External"/><Relationship Id="rId74" Type="http://schemas.openxmlformats.org/officeDocument/2006/relationships/hyperlink" Target="https://www.sportsoddshistory.com/soccer-team/?sa=soccer&amp;Team=Athletic+Bilbao" TargetMode="External"/><Relationship Id="rId77" Type="http://schemas.openxmlformats.org/officeDocument/2006/relationships/hyperlink" Target="https://www.sportsoddshistory.com/soccer-team/?sa=soccer&amp;Team=CF+Valencia" TargetMode="External"/><Relationship Id="rId76" Type="http://schemas.openxmlformats.org/officeDocument/2006/relationships/hyperlink" Target="https://www.sportsoddshistory.com/soccer-team/?sa=soccer&amp;Team=Real+Betis" TargetMode="External"/><Relationship Id="rId79" Type="http://schemas.openxmlformats.org/officeDocument/2006/relationships/hyperlink" Target="https://www.sportsoddshistory.com/soccer-team/?sa=soccer&amp;Team=Villarreal+CF" TargetMode="External"/><Relationship Id="rId78" Type="http://schemas.openxmlformats.org/officeDocument/2006/relationships/hyperlink" Target="https://www.sportsoddshistory.com/soccer-team/?sa=soccer&amp;Team=Sevilla" TargetMode="External"/><Relationship Id="rId71" Type="http://schemas.openxmlformats.org/officeDocument/2006/relationships/hyperlink" Target="https://www.sportsoddshistory.com/soccer-team/?sa=soccer&amp;Team=FC+Barcelona" TargetMode="External"/><Relationship Id="rId70" Type="http://schemas.openxmlformats.org/officeDocument/2006/relationships/hyperlink" Target="https://www.sportsoddshistory.com/soccer-team/?sa=soccer&amp;Team=Real+Madrid" TargetMode="External"/><Relationship Id="rId139" Type="http://schemas.openxmlformats.org/officeDocument/2006/relationships/hyperlink" Target="https://www.sportsoddshistory.com/soccer-team/?sa=soccer&amp;Team=Celta+de+Vigo" TargetMode="External"/><Relationship Id="rId138" Type="http://schemas.openxmlformats.org/officeDocument/2006/relationships/hyperlink" Target="https://www.sportsoddshistory.com/soccer-team/?sa=soccer&amp;Team=CF+Valencia" TargetMode="External"/><Relationship Id="rId137" Type="http://schemas.openxmlformats.org/officeDocument/2006/relationships/hyperlink" Target="https://www.sportsoddshistory.com/soccer-team/?sa=soccer&amp;Team=Athletic+Bilbao" TargetMode="External"/><Relationship Id="rId132" Type="http://schemas.openxmlformats.org/officeDocument/2006/relationships/hyperlink" Target="https://www.sportsoddshistory.com/soccer-team/?sa=soccer&amp;Team=Sevilla" TargetMode="External"/><Relationship Id="rId131" Type="http://schemas.openxmlformats.org/officeDocument/2006/relationships/hyperlink" Target="https://www.sportsoddshistory.com/soccer-team/?sa=soccer&amp;Team=Atletico+Madrid" TargetMode="External"/><Relationship Id="rId130" Type="http://schemas.openxmlformats.org/officeDocument/2006/relationships/hyperlink" Target="https://www.sportsoddshistory.com/soccer-team/?sa=soccer&amp;Team=FC+Barcelona" TargetMode="External"/><Relationship Id="rId136" Type="http://schemas.openxmlformats.org/officeDocument/2006/relationships/hyperlink" Target="https://www.sportsoddshistory.com/soccer-team/?sa=soccer&amp;Team=Rayo+Vallecano" TargetMode="External"/><Relationship Id="rId135" Type="http://schemas.openxmlformats.org/officeDocument/2006/relationships/hyperlink" Target="https://www.sportsoddshistory.com/soccer-team/?sa=soccer&amp;Team=Villarreal" TargetMode="External"/><Relationship Id="rId134" Type="http://schemas.openxmlformats.org/officeDocument/2006/relationships/hyperlink" Target="https://www.sportsoddshistory.com/soccer-team/?sa=soccer&amp;Team=Real+Sociedad" TargetMode="External"/><Relationship Id="rId133" Type="http://schemas.openxmlformats.org/officeDocument/2006/relationships/hyperlink" Target="https://www.sportsoddshistory.com/soccer-team/?sa=soccer&amp;Team=Real+Betis" TargetMode="External"/><Relationship Id="rId62" Type="http://schemas.openxmlformats.org/officeDocument/2006/relationships/hyperlink" Target="https://www.sportsoddshistory.com/soccer-main/?y=2023-2024&amp;sa=soccer&amp;a=spd&amp;b=two&amp;o=10" TargetMode="External"/><Relationship Id="rId61" Type="http://schemas.openxmlformats.org/officeDocument/2006/relationships/hyperlink" Target="https://www.sportsoddshistory.com/soccer-main/?y=2023-2024&amp;sa=soccer&amp;a=spd&amp;b=two&amp;o=p2" TargetMode="External"/><Relationship Id="rId64" Type="http://schemas.openxmlformats.org/officeDocument/2006/relationships/hyperlink" Target="https://www.sportsoddshistory.com/soccer-main/?y=2023-2024&amp;sa=soccer&amp;a=spd&amp;b=two&amp;o=12" TargetMode="External"/><Relationship Id="rId63" Type="http://schemas.openxmlformats.org/officeDocument/2006/relationships/hyperlink" Target="https://www.sportsoddshistory.com/soccer-main/?y=2023-2024&amp;sa=soccer&amp;a=spd&amp;b=two&amp;o=11" TargetMode="External"/><Relationship Id="rId66" Type="http://schemas.openxmlformats.org/officeDocument/2006/relationships/hyperlink" Target="https://www.sportsoddshistory.com/soccer-main/?y=2023-2024&amp;sa=soccer&amp;a=spd&amp;b=two&amp;o=02" TargetMode="External"/><Relationship Id="rId172" Type="http://schemas.openxmlformats.org/officeDocument/2006/relationships/hyperlink" Target="https://www.sportsoddshistory.com/soccer-team/?sa=soccer&amp;Team=Alaves" TargetMode="External"/><Relationship Id="rId65" Type="http://schemas.openxmlformats.org/officeDocument/2006/relationships/hyperlink" Target="https://www.sportsoddshistory.com/soccer-main/?y=2023-2024&amp;sa=soccer&amp;a=spd&amp;b=two&amp;o=01" TargetMode="External"/><Relationship Id="rId171" Type="http://schemas.openxmlformats.org/officeDocument/2006/relationships/hyperlink" Target="https://www.sportsoddshistory.com/soccer-team/?sa=soccer&amp;Team=Osasuna" TargetMode="External"/><Relationship Id="rId68" Type="http://schemas.openxmlformats.org/officeDocument/2006/relationships/hyperlink" Target="https://www.sportsoddshistory.com/soccer-main/?y=2023-2024&amp;sa=soccer&amp;a=spd&amp;b=two&amp;o=04" TargetMode="External"/><Relationship Id="rId170" Type="http://schemas.openxmlformats.org/officeDocument/2006/relationships/hyperlink" Target="https://www.sportsoddshistory.com/soccer-team/?sa=soccer&amp;Team=Granada+CF" TargetMode="External"/><Relationship Id="rId67" Type="http://schemas.openxmlformats.org/officeDocument/2006/relationships/hyperlink" Target="https://www.sportsoddshistory.com/soccer-main/?y=2023-2024&amp;sa=soccer&amp;a=spd&amp;b=two&amp;o=03" TargetMode="External"/><Relationship Id="rId60" Type="http://schemas.openxmlformats.org/officeDocument/2006/relationships/hyperlink" Target="https://www.sportsoddshistory.com/soccer-main/?y=2023-2024&amp;sa=soccer&amp;a=spd&amp;b=two&amp;o=p1" TargetMode="External"/><Relationship Id="rId165" Type="http://schemas.openxmlformats.org/officeDocument/2006/relationships/hyperlink" Target="https://www.sportsoddshistory.com/soccer-team/?sa=soccer&amp;Team=Real+Betis" TargetMode="External"/><Relationship Id="rId69" Type="http://schemas.openxmlformats.org/officeDocument/2006/relationships/hyperlink" Target="https://www.sportsoddshistory.com/soccer-main/?y=2023-2024&amp;sa=soccer&amp;a=spd&amp;b=two&amp;o=05" TargetMode="External"/><Relationship Id="rId164" Type="http://schemas.openxmlformats.org/officeDocument/2006/relationships/hyperlink" Target="https://www.sportsoddshistory.com/soccer-team/?sa=soccer&amp;Team=Getafe" TargetMode="External"/><Relationship Id="rId163" Type="http://schemas.openxmlformats.org/officeDocument/2006/relationships/hyperlink" Target="https://www.sportsoddshistory.com/soccer-team/?sa=soccer&amp;Team=Villarreal" TargetMode="External"/><Relationship Id="rId162" Type="http://schemas.openxmlformats.org/officeDocument/2006/relationships/hyperlink" Target="https://www.sportsoddshistory.com/soccer-team/?sa=soccer&amp;Team=Real+Sociedad" TargetMode="External"/><Relationship Id="rId169" Type="http://schemas.openxmlformats.org/officeDocument/2006/relationships/hyperlink" Target="https://www.sportsoddshistory.com/soccer-team/?sa=soccer&amp;Team=Eibar" TargetMode="External"/><Relationship Id="rId168" Type="http://schemas.openxmlformats.org/officeDocument/2006/relationships/hyperlink" Target="https://www.sportsoddshistory.com/soccer-team/?sa=soccer&amp;Team=Celta+de+Vigo" TargetMode="External"/><Relationship Id="rId167" Type="http://schemas.openxmlformats.org/officeDocument/2006/relationships/hyperlink" Target="https://www.sportsoddshistory.com/soccer-team/?sa=soccer&amp;Team=CF+Valencia" TargetMode="External"/><Relationship Id="rId166" Type="http://schemas.openxmlformats.org/officeDocument/2006/relationships/hyperlink" Target="https://www.sportsoddshistory.com/soccer-team/?sa=soccer&amp;Team=Athletic+Bilbao" TargetMode="External"/><Relationship Id="rId51" Type="http://schemas.openxmlformats.org/officeDocument/2006/relationships/hyperlink" Target="https://www.sportsoddshistory.com/soccer-team/?sa=soccer&amp;Team=Rayo+Vallecano" TargetMode="External"/><Relationship Id="rId50" Type="http://schemas.openxmlformats.org/officeDocument/2006/relationships/hyperlink" Target="https://www.sportsoddshistory.com/soccer-team/?sa=soccer&amp;Team=Osasuna" TargetMode="External"/><Relationship Id="rId53" Type="http://schemas.openxmlformats.org/officeDocument/2006/relationships/hyperlink" Target="https://www.sportsoddshistory.com/soccer-team/?sa=soccer&amp;Team=Getafe+CF" TargetMode="External"/><Relationship Id="rId52" Type="http://schemas.openxmlformats.org/officeDocument/2006/relationships/hyperlink" Target="https://www.sportsoddshistory.com/soccer-team/?sa=soccer&amp;Team=RCD+Mallorca" TargetMode="External"/><Relationship Id="rId55" Type="http://schemas.openxmlformats.org/officeDocument/2006/relationships/hyperlink" Target="https://www.sportsoddshistory.com/soccer-team/?sa=soccer&amp;Team=Deportivo+Alaves" TargetMode="External"/><Relationship Id="rId161" Type="http://schemas.openxmlformats.org/officeDocument/2006/relationships/hyperlink" Target="https://www.sportsoddshistory.com/soccer-team/?sa=soccer&amp;Team=Sevilla" TargetMode="External"/><Relationship Id="rId54" Type="http://schemas.openxmlformats.org/officeDocument/2006/relationships/hyperlink" Target="https://www.sportsoddshistory.com/soccer-team/?sa=soccer&amp;Team=CF+Valencia" TargetMode="External"/><Relationship Id="rId160" Type="http://schemas.openxmlformats.org/officeDocument/2006/relationships/hyperlink" Target="https://www.sportsoddshistory.com/soccer-team/?sa=soccer&amp;Team=FC+Barcelona" TargetMode="External"/><Relationship Id="rId57" Type="http://schemas.openxmlformats.org/officeDocument/2006/relationships/hyperlink" Target="https://www.sportsoddshistory.com/soccer-team/?sa=soccer&amp;Team=Espanyol" TargetMode="External"/><Relationship Id="rId56" Type="http://schemas.openxmlformats.org/officeDocument/2006/relationships/hyperlink" Target="https://www.sportsoddshistory.com/soccer-team/?sa=soccer&amp;Team=Las+Palmas" TargetMode="External"/><Relationship Id="rId159" Type="http://schemas.openxmlformats.org/officeDocument/2006/relationships/hyperlink" Target="https://www.sportsoddshistory.com/soccer-team/?sa=soccer&amp;Team=Real+Madrid" TargetMode="External"/><Relationship Id="rId59" Type="http://schemas.openxmlformats.org/officeDocument/2006/relationships/hyperlink" Target="https://www.sportsoddshistory.com/soccer-team/?sa=soccer&amp;Team=Real+Valladoilid" TargetMode="External"/><Relationship Id="rId154" Type="http://schemas.openxmlformats.org/officeDocument/2006/relationships/hyperlink" Target="https://www.sportsoddshistory.com/soccer-main/?y=2020-2021&amp;sa=soccer&amp;a=spd&amp;b=two&amp;o=02" TargetMode="External"/><Relationship Id="rId58" Type="http://schemas.openxmlformats.org/officeDocument/2006/relationships/hyperlink" Target="https://www.sportsoddshistory.com/soccer-team/?sa=soccer&amp;Team=Leganes" TargetMode="External"/><Relationship Id="rId153" Type="http://schemas.openxmlformats.org/officeDocument/2006/relationships/hyperlink" Target="https://www.sportsoddshistory.com/soccer-main/?y=2020-2021&amp;sa=soccer&amp;a=spd&amp;b=two&amp;o=01" TargetMode="External"/><Relationship Id="rId152" Type="http://schemas.openxmlformats.org/officeDocument/2006/relationships/hyperlink" Target="https://www.sportsoddshistory.com/soccer-main/?y=2020-2021&amp;sa=soccer&amp;a=spd&amp;b=two&amp;o=12" TargetMode="External"/><Relationship Id="rId151" Type="http://schemas.openxmlformats.org/officeDocument/2006/relationships/hyperlink" Target="https://www.sportsoddshistory.com/soccer-main/?y=2020-2021&amp;sa=soccer&amp;a=spd&amp;b=two&amp;o=11" TargetMode="External"/><Relationship Id="rId158" Type="http://schemas.openxmlformats.org/officeDocument/2006/relationships/hyperlink" Target="https://www.sportsoddshistory.com/soccer-team/?sa=soccer&amp;Team=Atletico+Madrid" TargetMode="External"/><Relationship Id="rId157" Type="http://schemas.openxmlformats.org/officeDocument/2006/relationships/hyperlink" Target="https://www.sportsoddshistory.com/soccer-main/?y=2020-2021&amp;sa=soccer&amp;a=spd&amp;b=two&amp;o=05" TargetMode="External"/><Relationship Id="rId156" Type="http://schemas.openxmlformats.org/officeDocument/2006/relationships/hyperlink" Target="https://www.sportsoddshistory.com/soccer-main/?y=2020-2021&amp;sa=soccer&amp;a=spd&amp;b=two&amp;o=04" TargetMode="External"/><Relationship Id="rId155" Type="http://schemas.openxmlformats.org/officeDocument/2006/relationships/hyperlink" Target="https://www.sportsoddshistory.com/soccer-main/?y=2020-2021&amp;sa=soccer&amp;a=spd&amp;b=two&amp;o=03" TargetMode="External"/><Relationship Id="rId107" Type="http://schemas.openxmlformats.org/officeDocument/2006/relationships/hyperlink" Target="https://www.sportsoddshistory.com/soccer-team/?sa=soccer&amp;Team=Osasuna" TargetMode="External"/><Relationship Id="rId106" Type="http://schemas.openxmlformats.org/officeDocument/2006/relationships/hyperlink" Target="https://www.sportsoddshistory.com/soccer-team/?sa=soccer&amp;Team=Athletic+Bilbao" TargetMode="External"/><Relationship Id="rId105" Type="http://schemas.openxmlformats.org/officeDocument/2006/relationships/hyperlink" Target="https://www.sportsoddshistory.com/soccer-team/?sa=soccer&amp;Team=Real+Betis" TargetMode="External"/><Relationship Id="rId104" Type="http://schemas.openxmlformats.org/officeDocument/2006/relationships/hyperlink" Target="https://www.sportsoddshistory.com/soccer-team/?sa=soccer&amp;Team=Villarreal" TargetMode="External"/><Relationship Id="rId109" Type="http://schemas.openxmlformats.org/officeDocument/2006/relationships/hyperlink" Target="https://www.sportsoddshistory.com/soccer-team/?sa=soccer&amp;Team=Celta+de+Vigo" TargetMode="External"/><Relationship Id="rId108" Type="http://schemas.openxmlformats.org/officeDocument/2006/relationships/hyperlink" Target="https://www.sportsoddshistory.com/soccer-team/?sa=soccer&amp;Team=Sevilla" TargetMode="External"/><Relationship Id="rId103" Type="http://schemas.openxmlformats.org/officeDocument/2006/relationships/hyperlink" Target="https://www.sportsoddshistory.com/soccer-team/?sa=soccer&amp;Team=Real+Sociedad" TargetMode="External"/><Relationship Id="rId102" Type="http://schemas.openxmlformats.org/officeDocument/2006/relationships/hyperlink" Target="https://www.sportsoddshistory.com/soccer-team/?sa=soccer&amp;Team=Atletico+Madrid" TargetMode="External"/><Relationship Id="rId101" Type="http://schemas.openxmlformats.org/officeDocument/2006/relationships/hyperlink" Target="https://www.sportsoddshistory.com/soccer-team/?sa=soccer&amp;Team=Real+Madrid" TargetMode="External"/><Relationship Id="rId100" Type="http://schemas.openxmlformats.org/officeDocument/2006/relationships/hyperlink" Target="https://www.sportsoddshistory.com/soccer-team/?sa=soccer&amp;Team=FC+Barcelona" TargetMode="External"/><Relationship Id="rId129" Type="http://schemas.openxmlformats.org/officeDocument/2006/relationships/hyperlink" Target="https://www.sportsoddshistory.com/soccer-team/?sa=soccer&amp;Team=Real+Madrid" TargetMode="External"/><Relationship Id="rId128" Type="http://schemas.openxmlformats.org/officeDocument/2006/relationships/hyperlink" Target="https://www.sportsoddshistory.com/soccer-main/?y=2021-2022&amp;sa=soccer&amp;a=spd&amp;b=two&amp;o=05" TargetMode="External"/><Relationship Id="rId127" Type="http://schemas.openxmlformats.org/officeDocument/2006/relationships/hyperlink" Target="https://www.sportsoddshistory.com/soccer-main/?y=2021-2022&amp;sa=soccer&amp;a=spd&amp;b=two&amp;o=04" TargetMode="External"/><Relationship Id="rId126" Type="http://schemas.openxmlformats.org/officeDocument/2006/relationships/hyperlink" Target="https://www.sportsoddshistory.com/soccer-main/?y=2021-2022&amp;sa=soccer&amp;a=spd&amp;b=two&amp;o=03" TargetMode="External"/><Relationship Id="rId121" Type="http://schemas.openxmlformats.org/officeDocument/2006/relationships/hyperlink" Target="https://www.sportsoddshistory.com/soccer-main/?y=2021-2022&amp;sa=soccer&amp;a=spd&amp;b=two&amp;o=10" TargetMode="External"/><Relationship Id="rId120" Type="http://schemas.openxmlformats.org/officeDocument/2006/relationships/hyperlink" Target="https://www.sportsoddshistory.com/soccer-main/?y=2021-2022&amp;sa=soccer&amp;a=spd&amp;b=two&amp;o=p1" TargetMode="External"/><Relationship Id="rId125" Type="http://schemas.openxmlformats.org/officeDocument/2006/relationships/hyperlink" Target="https://www.sportsoddshistory.com/soccer-main/?y=2021-2022&amp;sa=soccer&amp;a=spd&amp;b=two&amp;o=02" TargetMode="External"/><Relationship Id="rId124" Type="http://schemas.openxmlformats.org/officeDocument/2006/relationships/hyperlink" Target="https://www.sportsoddshistory.com/soccer-main/?y=2021-2022&amp;sa=soccer&amp;a=spd&amp;b=two&amp;o=01" TargetMode="External"/><Relationship Id="rId123" Type="http://schemas.openxmlformats.org/officeDocument/2006/relationships/hyperlink" Target="https://www.sportsoddshistory.com/soccer-main/?y=2021-2022&amp;sa=soccer&amp;a=spd&amp;b=two&amp;o=12" TargetMode="External"/><Relationship Id="rId122" Type="http://schemas.openxmlformats.org/officeDocument/2006/relationships/hyperlink" Target="https://www.sportsoddshistory.com/soccer-main/?y=2021-2022&amp;sa=soccer&amp;a=spd&amp;b=two&amp;o=11" TargetMode="External"/><Relationship Id="rId95" Type="http://schemas.openxmlformats.org/officeDocument/2006/relationships/hyperlink" Target="https://www.sportsoddshistory.com/soccer-main/?y=2022-2023&amp;sa=soccer&amp;a=spd&amp;b=two&amp;o=01" TargetMode="External"/><Relationship Id="rId94" Type="http://schemas.openxmlformats.org/officeDocument/2006/relationships/hyperlink" Target="https://www.sportsoddshistory.com/soccer-main/?y=2022-2023&amp;sa=soccer&amp;a=spd&amp;b=two&amp;o=12" TargetMode="External"/><Relationship Id="rId97" Type="http://schemas.openxmlformats.org/officeDocument/2006/relationships/hyperlink" Target="https://www.sportsoddshistory.com/soccer-main/?y=2022-2023&amp;sa=soccer&amp;a=spd&amp;b=two&amp;o=03" TargetMode="External"/><Relationship Id="rId96" Type="http://schemas.openxmlformats.org/officeDocument/2006/relationships/hyperlink" Target="https://www.sportsoddshistory.com/soccer-main/?y=2022-2023&amp;sa=soccer&amp;a=spd&amp;b=two&amp;o=02" TargetMode="External"/><Relationship Id="rId99" Type="http://schemas.openxmlformats.org/officeDocument/2006/relationships/hyperlink" Target="https://www.sportsoddshistory.com/soccer-main/?y=2022-2023&amp;sa=soccer&amp;a=spd&amp;b=two&amp;o=05" TargetMode="External"/><Relationship Id="rId98" Type="http://schemas.openxmlformats.org/officeDocument/2006/relationships/hyperlink" Target="https://www.sportsoddshistory.com/soccer-main/?y=2022-2023&amp;sa=soccer&amp;a=spd&amp;b=two&amp;o=04" TargetMode="External"/><Relationship Id="rId91" Type="http://schemas.openxmlformats.org/officeDocument/2006/relationships/hyperlink" Target="https://www.sportsoddshistory.com/soccer-main/?y=2022-2023&amp;sa=soccer&amp;a=spd&amp;b=two&amp;o=p2" TargetMode="External"/><Relationship Id="rId90" Type="http://schemas.openxmlformats.org/officeDocument/2006/relationships/hyperlink" Target="https://www.sportsoddshistory.com/soccer-main/?y=2022-2023&amp;sa=soccer&amp;a=spd&amp;b=two&amp;o=p1" TargetMode="External"/><Relationship Id="rId93" Type="http://schemas.openxmlformats.org/officeDocument/2006/relationships/hyperlink" Target="https://www.sportsoddshistory.com/soccer-main/?y=2022-2023&amp;sa=soccer&amp;a=spd&amp;b=two&amp;o=11" TargetMode="External"/><Relationship Id="rId92" Type="http://schemas.openxmlformats.org/officeDocument/2006/relationships/hyperlink" Target="https://www.sportsoddshistory.com/soccer-main/?y=2022-2023&amp;sa=soccer&amp;a=spd&amp;b=two&amp;o=10" TargetMode="External"/><Relationship Id="rId118" Type="http://schemas.openxmlformats.org/officeDocument/2006/relationships/hyperlink" Target="https://www.sportsoddshistory.com/soccer-team/?sa=soccer&amp;Team=Elche" TargetMode="External"/><Relationship Id="rId117" Type="http://schemas.openxmlformats.org/officeDocument/2006/relationships/hyperlink" Target="https://www.sportsoddshistory.com/soccer-team/?sa=soccer&amp;Team=Almeria" TargetMode="External"/><Relationship Id="rId116" Type="http://schemas.openxmlformats.org/officeDocument/2006/relationships/hyperlink" Target="https://www.sportsoddshistory.com/soccer-team/?sa=soccer&amp;Team=Girona" TargetMode="External"/><Relationship Id="rId115" Type="http://schemas.openxmlformats.org/officeDocument/2006/relationships/hyperlink" Target="https://www.sportsoddshistory.com/soccer-team/?sa=soccer&amp;Team=RCD+Mallorca" TargetMode="External"/><Relationship Id="rId119" Type="http://schemas.openxmlformats.org/officeDocument/2006/relationships/hyperlink" Target="https://www.sportsoddshistory.com/soccer-team/?sa=soccer&amp;Team=Cadiz+CF" TargetMode="External"/><Relationship Id="rId110" Type="http://schemas.openxmlformats.org/officeDocument/2006/relationships/hyperlink" Target="https://www.sportsoddshistory.com/soccer-team/?sa=soccer&amp;Team=CF+Valencia" TargetMode="External"/><Relationship Id="rId114" Type="http://schemas.openxmlformats.org/officeDocument/2006/relationships/hyperlink" Target="https://www.sportsoddshistory.com/soccer-team/?sa=soccer&amp;Team=Valladolid" TargetMode="External"/><Relationship Id="rId113" Type="http://schemas.openxmlformats.org/officeDocument/2006/relationships/hyperlink" Target="https://www.sportsoddshistory.com/soccer-team/?sa=soccer&amp;Team=Getafe" TargetMode="External"/><Relationship Id="rId112" Type="http://schemas.openxmlformats.org/officeDocument/2006/relationships/hyperlink" Target="https://www.sportsoddshistory.com/soccer-team/?sa=soccer&amp;Team=Espanyol" TargetMode="External"/><Relationship Id="rId111" Type="http://schemas.openxmlformats.org/officeDocument/2006/relationships/hyperlink" Target="https://www.sportsoddshistory.com/soccer-team/?sa=soccer&amp;Team=Rayo+Valleca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88"/>
    <col customWidth="1" min="3" max="3" width="17.63"/>
    <col customWidth="1" min="4" max="12" width="6.5"/>
    <col customWidth="1" min="13" max="14" width="11.25"/>
  </cols>
  <sheetData>
    <row r="1">
      <c r="C1" s="3" t="s">
        <v>2</v>
      </c>
      <c r="D1" s="4">
        <v>45776.0</v>
      </c>
      <c r="E1" s="4">
        <v>45931.0</v>
      </c>
      <c r="F1" s="4">
        <v>45962.0</v>
      </c>
      <c r="G1" s="4">
        <v>45992.0</v>
      </c>
      <c r="H1" s="4">
        <v>45658.0</v>
      </c>
      <c r="I1" s="4">
        <v>45689.0</v>
      </c>
      <c r="J1" s="4">
        <v>45717.0</v>
      </c>
      <c r="K1" s="4">
        <v>45748.0</v>
      </c>
      <c r="L1" s="5">
        <v>45778.0</v>
      </c>
      <c r="M1" s="6"/>
    </row>
    <row r="2">
      <c r="A2" s="1" t="s">
        <v>3</v>
      </c>
      <c r="B2" s="1" t="s">
        <v>4</v>
      </c>
      <c r="C2" s="2" t="s">
        <v>5</v>
      </c>
      <c r="D2" s="7">
        <f>+250</f>
        <v>250</v>
      </c>
      <c r="E2" s="7">
        <f>+125</f>
        <v>125</v>
      </c>
      <c r="F2" s="8">
        <v>-225.0</v>
      </c>
      <c r="G2" s="7"/>
      <c r="H2" s="7"/>
      <c r="I2" s="7"/>
      <c r="J2" s="7"/>
      <c r="K2" s="7"/>
      <c r="L2" s="7"/>
      <c r="M2" s="7"/>
    </row>
    <row r="3">
      <c r="A3" s="1" t="s">
        <v>3</v>
      </c>
      <c r="B3" s="1" t="s">
        <v>4</v>
      </c>
      <c r="C3" s="2" t="s">
        <v>6</v>
      </c>
      <c r="D3" s="7">
        <f>+225</f>
        <v>225</v>
      </c>
      <c r="E3" s="7">
        <f>+450</f>
        <v>450</v>
      </c>
      <c r="F3" s="7">
        <f>+500</f>
        <v>500</v>
      </c>
      <c r="G3" s="7"/>
      <c r="H3" s="7"/>
      <c r="I3" s="7"/>
      <c r="J3" s="7"/>
      <c r="K3" s="7"/>
      <c r="L3" s="7"/>
      <c r="M3" s="7"/>
    </row>
    <row r="4">
      <c r="A4" s="1" t="s">
        <v>3</v>
      </c>
      <c r="B4" s="1" t="s">
        <v>4</v>
      </c>
      <c r="C4" s="2" t="s">
        <v>7</v>
      </c>
      <c r="D4" s="7">
        <f>+200</f>
        <v>200</v>
      </c>
      <c r="E4" s="7">
        <f>+175</f>
        <v>175</v>
      </c>
      <c r="F4" s="7">
        <f>+700</f>
        <v>700</v>
      </c>
      <c r="G4" s="7"/>
      <c r="H4" s="7"/>
      <c r="I4" s="7"/>
      <c r="J4" s="7"/>
      <c r="K4" s="7"/>
      <c r="L4" s="7"/>
      <c r="M4" s="7"/>
    </row>
    <row r="5">
      <c r="A5" s="1" t="s">
        <v>3</v>
      </c>
      <c r="B5" s="1" t="s">
        <v>4</v>
      </c>
      <c r="C5" s="2" t="s">
        <v>8</v>
      </c>
      <c r="D5" s="7">
        <f>+3300</f>
        <v>3300</v>
      </c>
      <c r="E5" s="7">
        <f>+10000</f>
        <v>10000</v>
      </c>
      <c r="F5" s="7">
        <f>+2000</f>
        <v>2000</v>
      </c>
      <c r="G5" s="7"/>
      <c r="H5" s="7"/>
      <c r="I5" s="7"/>
      <c r="J5" s="7"/>
      <c r="K5" s="7"/>
      <c r="L5" s="7"/>
      <c r="M5" s="7"/>
    </row>
    <row r="6">
      <c r="A6" s="1" t="s">
        <v>3</v>
      </c>
      <c r="B6" s="1" t="s">
        <v>4</v>
      </c>
      <c r="C6" s="2" t="s">
        <v>9</v>
      </c>
      <c r="D6" s="7">
        <f>+2000</f>
        <v>2000</v>
      </c>
      <c r="E6" s="7">
        <f>+2800</f>
        <v>2800</v>
      </c>
      <c r="F6" s="7">
        <f>+4000</f>
        <v>4000</v>
      </c>
      <c r="G6" s="7"/>
      <c r="H6" s="7"/>
      <c r="I6" s="7"/>
      <c r="J6" s="7"/>
      <c r="K6" s="7"/>
      <c r="L6" s="7"/>
      <c r="M6" s="7"/>
    </row>
    <row r="7">
      <c r="A7" s="1" t="s">
        <v>3</v>
      </c>
      <c r="B7" s="1" t="s">
        <v>4</v>
      </c>
      <c r="C7" s="2" t="s">
        <v>10</v>
      </c>
      <c r="D7" s="7">
        <f>+6600</f>
        <v>6600</v>
      </c>
      <c r="E7" s="7">
        <f>+4000</f>
        <v>4000</v>
      </c>
      <c r="F7" s="7">
        <f>+5000</f>
        <v>5000</v>
      </c>
      <c r="G7" s="7"/>
      <c r="H7" s="7"/>
      <c r="I7" s="7"/>
      <c r="J7" s="7"/>
      <c r="K7" s="7"/>
      <c r="L7" s="7"/>
      <c r="M7" s="7"/>
    </row>
    <row r="8">
      <c r="A8" s="1" t="s">
        <v>3</v>
      </c>
      <c r="B8" s="1" t="s">
        <v>4</v>
      </c>
      <c r="C8" s="2" t="s">
        <v>11</v>
      </c>
      <c r="D8" s="7">
        <f>+1200</f>
        <v>1200</v>
      </c>
      <c r="E8" s="7">
        <f t="shared" ref="E8:F8" si="1">+10000</f>
        <v>10000</v>
      </c>
      <c r="F8" s="7">
        <f t="shared" si="1"/>
        <v>10000</v>
      </c>
      <c r="G8" s="7"/>
      <c r="H8" s="7"/>
      <c r="I8" s="7"/>
      <c r="J8" s="7"/>
      <c r="K8" s="7"/>
      <c r="L8" s="7"/>
      <c r="M8" s="7"/>
    </row>
    <row r="9">
      <c r="A9" s="1" t="s">
        <v>3</v>
      </c>
      <c r="B9" s="1" t="s">
        <v>4</v>
      </c>
      <c r="C9" s="2" t="s">
        <v>12</v>
      </c>
      <c r="D9" s="7">
        <f t="shared" ref="D9:E9" si="2">+25000</f>
        <v>25000</v>
      </c>
      <c r="E9" s="7">
        <f t="shared" si="2"/>
        <v>25000</v>
      </c>
      <c r="F9" s="7">
        <f>+10000</f>
        <v>10000</v>
      </c>
      <c r="G9" s="7"/>
      <c r="H9" s="7"/>
      <c r="I9" s="7"/>
      <c r="J9" s="7"/>
      <c r="K9" s="7"/>
      <c r="L9" s="7"/>
      <c r="M9" s="7"/>
    </row>
    <row r="10">
      <c r="A10" s="1" t="s">
        <v>3</v>
      </c>
      <c r="B10" s="1" t="s">
        <v>4</v>
      </c>
      <c r="C10" s="2" t="s">
        <v>13</v>
      </c>
      <c r="D10" s="7"/>
      <c r="E10" s="7">
        <f>+40000</f>
        <v>40000</v>
      </c>
      <c r="F10" s="7">
        <f>+15000</f>
        <v>15000</v>
      </c>
      <c r="G10" s="7"/>
      <c r="H10" s="7"/>
      <c r="I10" s="7"/>
      <c r="J10" s="7"/>
      <c r="K10" s="7"/>
      <c r="L10" s="7"/>
      <c r="M10" s="7"/>
    </row>
    <row r="11">
      <c r="A11" s="1" t="s">
        <v>3</v>
      </c>
      <c r="B11" s="1" t="s">
        <v>4</v>
      </c>
      <c r="C11" s="2" t="s">
        <v>14</v>
      </c>
      <c r="D11" s="7">
        <f t="shared" ref="D11:E11" si="3">+20000</f>
        <v>20000</v>
      </c>
      <c r="E11" s="7">
        <f t="shared" si="3"/>
        <v>20000</v>
      </c>
      <c r="F11" s="7">
        <f t="shared" ref="F11:F12" si="4">+25000</f>
        <v>25000</v>
      </c>
      <c r="G11" s="7"/>
      <c r="H11" s="7"/>
      <c r="I11" s="7"/>
      <c r="J11" s="7"/>
      <c r="K11" s="7"/>
      <c r="L11" s="7"/>
      <c r="M11" s="7"/>
    </row>
    <row r="12">
      <c r="A12" s="1" t="s">
        <v>3</v>
      </c>
      <c r="B12" s="1" t="s">
        <v>4</v>
      </c>
      <c r="C12" s="2" t="s">
        <v>15</v>
      </c>
      <c r="D12" s="7">
        <f>+3300</f>
        <v>3300</v>
      </c>
      <c r="E12" s="7">
        <f>+50000</f>
        <v>50000</v>
      </c>
      <c r="F12" s="7">
        <f t="shared" si="4"/>
        <v>25000</v>
      </c>
      <c r="G12" s="7"/>
      <c r="H12" s="7"/>
      <c r="I12" s="7"/>
      <c r="J12" s="7"/>
      <c r="K12" s="7"/>
      <c r="L12" s="7"/>
      <c r="M12" s="7"/>
    </row>
    <row r="13">
      <c r="A13" s="1" t="s">
        <v>3</v>
      </c>
      <c r="B13" s="1" t="s">
        <v>4</v>
      </c>
      <c r="C13" s="2" t="s">
        <v>16</v>
      </c>
      <c r="D13" s="7">
        <f t="shared" ref="D13:D15" si="5">+50000</f>
        <v>50000</v>
      </c>
      <c r="E13" s="7">
        <f>+8000</f>
        <v>8000</v>
      </c>
      <c r="F13" s="7">
        <f>+40000</f>
        <v>40000</v>
      </c>
      <c r="G13" s="7"/>
      <c r="H13" s="7"/>
      <c r="I13" s="7"/>
      <c r="J13" s="7"/>
      <c r="K13" s="7"/>
      <c r="L13" s="7"/>
      <c r="M13" s="7"/>
    </row>
    <row r="14">
      <c r="A14" s="1" t="s">
        <v>3</v>
      </c>
      <c r="B14" s="1" t="s">
        <v>4</v>
      </c>
      <c r="C14" s="2" t="s">
        <v>17</v>
      </c>
      <c r="D14" s="7">
        <f t="shared" si="5"/>
        <v>50000</v>
      </c>
      <c r="E14" s="7">
        <f>+40000</f>
        <v>40000</v>
      </c>
      <c r="F14" s="7">
        <f>+50000</f>
        <v>50000</v>
      </c>
      <c r="G14" s="7"/>
      <c r="H14" s="7"/>
      <c r="I14" s="7"/>
      <c r="J14" s="7"/>
      <c r="K14" s="7"/>
      <c r="L14" s="7"/>
      <c r="M14" s="7"/>
    </row>
    <row r="15">
      <c r="A15" s="1" t="s">
        <v>3</v>
      </c>
      <c r="B15" s="1" t="s">
        <v>4</v>
      </c>
      <c r="C15" s="2" t="s">
        <v>18</v>
      </c>
      <c r="D15" s="7">
        <f t="shared" si="5"/>
        <v>50000</v>
      </c>
      <c r="E15" s="7">
        <f>+100000</f>
        <v>100000</v>
      </c>
      <c r="F15" s="7">
        <f>+75000</f>
        <v>75000</v>
      </c>
      <c r="G15" s="7"/>
      <c r="H15" s="7"/>
      <c r="I15" s="7"/>
      <c r="J15" s="7"/>
      <c r="K15" s="7"/>
      <c r="L15" s="7"/>
      <c r="M15" s="7"/>
    </row>
    <row r="16">
      <c r="A16" s="1" t="s">
        <v>3</v>
      </c>
      <c r="B16" s="1" t="s">
        <v>4</v>
      </c>
      <c r="C16" s="2" t="s">
        <v>19</v>
      </c>
      <c r="D16" s="7">
        <f>+15000</f>
        <v>15000</v>
      </c>
      <c r="E16" s="7">
        <f>+50000</f>
        <v>50000</v>
      </c>
      <c r="F16" s="7">
        <f t="shared" ref="F16:F18" si="7">+100000</f>
        <v>100000</v>
      </c>
      <c r="G16" s="7"/>
      <c r="H16" s="7"/>
      <c r="I16" s="7"/>
      <c r="J16" s="7"/>
      <c r="K16" s="7"/>
      <c r="L16" s="7"/>
      <c r="M16" s="7"/>
    </row>
    <row r="17">
      <c r="A17" s="1" t="s">
        <v>3</v>
      </c>
      <c r="B17" s="1" t="s">
        <v>4</v>
      </c>
      <c r="C17" s="2" t="s">
        <v>20</v>
      </c>
      <c r="D17" s="7">
        <f t="shared" ref="D17:E17" si="6">+50000</f>
        <v>50000</v>
      </c>
      <c r="E17" s="7">
        <f t="shared" si="6"/>
        <v>50000</v>
      </c>
      <c r="F17" s="7">
        <f t="shared" si="7"/>
        <v>100000</v>
      </c>
      <c r="G17" s="7"/>
      <c r="H17" s="7"/>
      <c r="I17" s="7"/>
      <c r="J17" s="7"/>
      <c r="K17" s="7"/>
      <c r="L17" s="7"/>
      <c r="M17" s="7"/>
    </row>
    <row r="18">
      <c r="A18" s="1" t="s">
        <v>3</v>
      </c>
      <c r="B18" s="1" t="s">
        <v>4</v>
      </c>
      <c r="C18" s="2" t="s">
        <v>21</v>
      </c>
      <c r="D18" s="7">
        <f t="shared" ref="D18:E18" si="8">+75000</f>
        <v>75000</v>
      </c>
      <c r="E18" s="7">
        <f t="shared" si="8"/>
        <v>75000</v>
      </c>
      <c r="F18" s="7">
        <f t="shared" si="7"/>
        <v>100000</v>
      </c>
      <c r="G18" s="7"/>
      <c r="H18" s="7"/>
      <c r="I18" s="7"/>
      <c r="J18" s="7"/>
      <c r="K18" s="7"/>
      <c r="L18" s="7"/>
      <c r="M18" s="7"/>
    </row>
    <row r="19">
      <c r="A19" s="1" t="s">
        <v>3</v>
      </c>
      <c r="B19" s="1" t="s">
        <v>4</v>
      </c>
      <c r="C19" s="2" t="s">
        <v>22</v>
      </c>
      <c r="D19" s="7">
        <f>+50000</f>
        <v>50000</v>
      </c>
      <c r="E19" s="7">
        <f t="shared" ref="E19:E21" si="9">+100000</f>
        <v>100000</v>
      </c>
      <c r="F19" s="7">
        <f t="shared" ref="F19:F20" si="10">+150000</f>
        <v>150000</v>
      </c>
      <c r="G19" s="7"/>
      <c r="H19" s="7"/>
      <c r="I19" s="7"/>
      <c r="J19" s="7"/>
      <c r="K19" s="7"/>
      <c r="L19" s="7"/>
      <c r="M19" s="7"/>
    </row>
    <row r="20">
      <c r="A20" s="1" t="s">
        <v>3</v>
      </c>
      <c r="B20" s="1" t="s">
        <v>4</v>
      </c>
      <c r="C20" s="2" t="s">
        <v>23</v>
      </c>
      <c r="D20" s="7"/>
      <c r="E20" s="7">
        <f t="shared" si="9"/>
        <v>100000</v>
      </c>
      <c r="F20" s="7">
        <f t="shared" si="10"/>
        <v>150000</v>
      </c>
      <c r="G20" s="7"/>
      <c r="H20" s="7"/>
      <c r="I20" s="7"/>
      <c r="J20" s="7"/>
      <c r="K20" s="7"/>
      <c r="L20" s="7"/>
      <c r="M20" s="7"/>
    </row>
    <row r="21">
      <c r="A21" s="1" t="s">
        <v>3</v>
      </c>
      <c r="B21" s="1" t="s">
        <v>4</v>
      </c>
      <c r="C21" s="2" t="s">
        <v>24</v>
      </c>
      <c r="D21" s="7">
        <f>+50000</f>
        <v>50000</v>
      </c>
      <c r="E21" s="7">
        <f t="shared" si="9"/>
        <v>100000</v>
      </c>
      <c r="F21" s="7">
        <f>+200000</f>
        <v>200000</v>
      </c>
      <c r="G21" s="7"/>
      <c r="H21" s="7"/>
    </row>
    <row r="22">
      <c r="C22" s="3" t="s">
        <v>2</v>
      </c>
      <c r="D22" s="5">
        <v>45797.0</v>
      </c>
      <c r="E22" s="4">
        <v>45885.0</v>
      </c>
      <c r="F22" s="4">
        <v>45931.0</v>
      </c>
      <c r="G22" s="4">
        <v>45962.0</v>
      </c>
      <c r="H22" s="4">
        <v>45992.0</v>
      </c>
      <c r="I22" s="4">
        <v>45658.0</v>
      </c>
      <c r="J22" s="4">
        <v>45689.0</v>
      </c>
      <c r="K22" s="4">
        <v>45717.0</v>
      </c>
      <c r="L22" s="4">
        <v>45748.0</v>
      </c>
      <c r="M22" s="5">
        <v>45778.0</v>
      </c>
      <c r="N22" s="6"/>
    </row>
    <row r="23">
      <c r="A23" s="1" t="s">
        <v>25</v>
      </c>
      <c r="B23" s="1" t="s">
        <v>4</v>
      </c>
      <c r="C23" s="2" t="s">
        <v>26</v>
      </c>
      <c r="D23" s="7">
        <f>+800</f>
        <v>800</v>
      </c>
      <c r="E23" s="7">
        <f>+650</f>
        <v>650</v>
      </c>
      <c r="F23" s="7">
        <f>+400</f>
        <v>400</v>
      </c>
      <c r="G23" s="7">
        <f>+250</f>
        <v>250</v>
      </c>
      <c r="H23" s="8">
        <v>-110.0</v>
      </c>
      <c r="I23" s="8">
        <v>-500.0</v>
      </c>
      <c r="J23" s="8">
        <v>-450.0</v>
      </c>
      <c r="K23" s="8">
        <v>-10000.0</v>
      </c>
      <c r="L23" s="8">
        <v>-15000.0</v>
      </c>
      <c r="M23" s="7"/>
      <c r="N23" s="8" t="s">
        <v>27</v>
      </c>
    </row>
    <row r="24">
      <c r="A24" s="1" t="s">
        <v>25</v>
      </c>
      <c r="B24" s="1" t="s">
        <v>4</v>
      </c>
      <c r="C24" s="2" t="s">
        <v>28</v>
      </c>
      <c r="D24" s="7">
        <f>+300</f>
        <v>300</v>
      </c>
      <c r="E24" s="7">
        <f>+165</f>
        <v>165</v>
      </c>
      <c r="F24" s="7">
        <f>+150</f>
        <v>150</v>
      </c>
      <c r="G24" s="7">
        <f>+260</f>
        <v>260</v>
      </c>
      <c r="H24" s="7">
        <f>+250</f>
        <v>250</v>
      </c>
      <c r="I24" s="7">
        <f t="shared" ref="I24:J24" si="11">+450</f>
        <v>450</v>
      </c>
      <c r="J24" s="7">
        <f t="shared" si="11"/>
        <v>450</v>
      </c>
      <c r="K24" s="7">
        <f t="shared" ref="K24:L24" si="12">+2000</f>
        <v>2000</v>
      </c>
      <c r="L24" s="7">
        <f t="shared" si="12"/>
        <v>2000</v>
      </c>
      <c r="M24" s="7"/>
      <c r="N24" s="7"/>
    </row>
    <row r="25">
      <c r="A25" s="1" t="s">
        <v>25</v>
      </c>
      <c r="B25" s="1" t="s">
        <v>4</v>
      </c>
      <c r="C25" s="2" t="s">
        <v>29</v>
      </c>
      <c r="D25" s="7">
        <f t="shared" ref="D25:E25" si="13">+50000</f>
        <v>50000</v>
      </c>
      <c r="E25" s="7">
        <f t="shared" si="13"/>
        <v>50000</v>
      </c>
      <c r="F25" s="7">
        <f>+100000</f>
        <v>100000</v>
      </c>
      <c r="G25" s="7">
        <f>+50000</f>
        <v>50000</v>
      </c>
      <c r="H25" s="7">
        <f>+20000</f>
        <v>20000</v>
      </c>
      <c r="I25" s="7">
        <f>+8000</f>
        <v>8000</v>
      </c>
      <c r="J25" s="7">
        <f>+10000</f>
        <v>10000</v>
      </c>
      <c r="K25" s="7">
        <f>+50000</f>
        <v>50000</v>
      </c>
      <c r="L25" s="7">
        <f>+15000</f>
        <v>15000</v>
      </c>
      <c r="M25" s="7"/>
      <c r="N25" s="7"/>
    </row>
    <row r="26">
      <c r="A26" s="1" t="s">
        <v>25</v>
      </c>
      <c r="B26" s="1" t="s">
        <v>4</v>
      </c>
      <c r="C26" s="2" t="s">
        <v>30</v>
      </c>
      <c r="D26" s="8">
        <v>-125.0</v>
      </c>
      <c r="E26" s="7">
        <f>+150</f>
        <v>150</v>
      </c>
      <c r="F26" s="7">
        <f>+175</f>
        <v>175</v>
      </c>
      <c r="G26" s="7">
        <f>+120</f>
        <v>120</v>
      </c>
      <c r="H26" s="7">
        <f>+400</f>
        <v>400</v>
      </c>
      <c r="I26" s="7">
        <f>+3300</f>
        <v>3300</v>
      </c>
      <c r="J26" s="7">
        <f>+1600</f>
        <v>1600</v>
      </c>
      <c r="K26" s="7">
        <f>+25000</f>
        <v>25000</v>
      </c>
      <c r="L26" s="7">
        <f>+50000</f>
        <v>50000</v>
      </c>
      <c r="M26" s="7"/>
      <c r="N26" s="7"/>
    </row>
    <row r="27">
      <c r="A27" s="1" t="s">
        <v>25</v>
      </c>
      <c r="B27" s="1" t="s">
        <v>4</v>
      </c>
      <c r="C27" s="2" t="s">
        <v>31</v>
      </c>
      <c r="D27" s="7">
        <f t="shared" ref="D27:E27" si="14">+1600</f>
        <v>1600</v>
      </c>
      <c r="E27" s="7">
        <f t="shared" si="14"/>
        <v>1600</v>
      </c>
      <c r="F27" s="7">
        <f>+1200</f>
        <v>1200</v>
      </c>
      <c r="G27" s="7">
        <f>+2000</f>
        <v>2000</v>
      </c>
      <c r="H27" s="7">
        <f>+1800</f>
        <v>1800</v>
      </c>
      <c r="I27" s="7">
        <f>+2500</f>
        <v>2500</v>
      </c>
      <c r="J27" s="7">
        <f t="shared" ref="J27:J28" si="17">+10000</f>
        <v>10000</v>
      </c>
      <c r="K27" s="7">
        <f t="shared" ref="K27:L27" si="15">+75000</f>
        <v>75000</v>
      </c>
      <c r="L27" s="7">
        <f t="shared" si="15"/>
        <v>75000</v>
      </c>
      <c r="M27" s="7"/>
      <c r="N27" s="7"/>
    </row>
    <row r="28">
      <c r="A28" s="1" t="s">
        <v>25</v>
      </c>
      <c r="B28" s="1" t="s">
        <v>4</v>
      </c>
      <c r="C28" s="2" t="s">
        <v>32</v>
      </c>
      <c r="D28" s="7">
        <f t="shared" ref="D28:E28" si="16">+3300</f>
        <v>3300</v>
      </c>
      <c r="E28" s="7">
        <f t="shared" si="16"/>
        <v>3300</v>
      </c>
      <c r="F28" s="7">
        <f>+10000</f>
        <v>10000</v>
      </c>
      <c r="G28" s="7">
        <f>+20000</f>
        <v>20000</v>
      </c>
      <c r="H28" s="7">
        <f t="shared" ref="H28:H29" si="20">+15000</f>
        <v>15000</v>
      </c>
      <c r="I28" s="7">
        <f>+25000</f>
        <v>25000</v>
      </c>
      <c r="J28" s="7">
        <f t="shared" si="17"/>
        <v>10000</v>
      </c>
      <c r="K28" s="7">
        <f t="shared" ref="K28:L28" si="18">+100000</f>
        <v>100000</v>
      </c>
      <c r="L28" s="7">
        <f t="shared" si="18"/>
        <v>100000</v>
      </c>
      <c r="M28" s="7"/>
      <c r="N28" s="7"/>
    </row>
    <row r="29">
      <c r="A29" s="1" t="s">
        <v>25</v>
      </c>
      <c r="B29" s="1" t="s">
        <v>4</v>
      </c>
      <c r="C29" s="2" t="s">
        <v>33</v>
      </c>
      <c r="D29" s="7">
        <f t="shared" ref="D29:E29" si="19">+5000</f>
        <v>5000</v>
      </c>
      <c r="E29" s="7">
        <f t="shared" si="19"/>
        <v>5000</v>
      </c>
      <c r="F29" s="7">
        <f>+6600</f>
        <v>6600</v>
      </c>
      <c r="G29" s="7">
        <f>+8000</f>
        <v>8000</v>
      </c>
      <c r="H29" s="7">
        <f t="shared" si="20"/>
        <v>15000</v>
      </c>
      <c r="I29" s="7">
        <f>+75000</f>
        <v>75000</v>
      </c>
      <c r="J29" s="7">
        <f>+100000</f>
        <v>100000</v>
      </c>
      <c r="K29" s="7"/>
      <c r="L29" s="7"/>
      <c r="M29" s="7"/>
      <c r="N29" s="7"/>
    </row>
    <row r="30">
      <c r="A30" s="1" t="s">
        <v>25</v>
      </c>
      <c r="B30" s="1" t="s">
        <v>4</v>
      </c>
      <c r="C30" s="2" t="s">
        <v>34</v>
      </c>
      <c r="D30" s="7">
        <f>+3300</f>
        <v>3300</v>
      </c>
      <c r="E30" s="7">
        <f>+2000</f>
        <v>2000</v>
      </c>
      <c r="F30" s="7">
        <f>+3300</f>
        <v>3300</v>
      </c>
      <c r="G30" s="7">
        <f t="shared" ref="G30:H30" si="21">+5000</f>
        <v>5000</v>
      </c>
      <c r="H30" s="7">
        <f t="shared" si="21"/>
        <v>5000</v>
      </c>
      <c r="I30" s="7">
        <f t="shared" ref="I30:J30" si="22">+100000</f>
        <v>100000</v>
      </c>
      <c r="J30" s="7">
        <f t="shared" si="22"/>
        <v>100000</v>
      </c>
      <c r="K30" s="7"/>
      <c r="L30" s="7"/>
      <c r="M30" s="7"/>
      <c r="N30" s="7"/>
    </row>
    <row r="31">
      <c r="A31" s="1" t="s">
        <v>25</v>
      </c>
      <c r="B31" s="1" t="s">
        <v>4</v>
      </c>
      <c r="C31" s="2" t="s">
        <v>35</v>
      </c>
      <c r="D31" s="7">
        <f t="shared" ref="D31:E31" si="23">+2000</f>
        <v>2000</v>
      </c>
      <c r="E31" s="7">
        <f t="shared" si="23"/>
        <v>2000</v>
      </c>
      <c r="F31" s="7">
        <f t="shared" ref="F31:H31" si="24">+10000</f>
        <v>10000</v>
      </c>
      <c r="G31" s="7">
        <f t="shared" si="24"/>
        <v>10000</v>
      </c>
      <c r="H31" s="7">
        <f t="shared" si="24"/>
        <v>10000</v>
      </c>
      <c r="I31" s="7">
        <f t="shared" ref="I31:J31" si="25">+100000</f>
        <v>100000</v>
      </c>
      <c r="J31" s="7">
        <f t="shared" si="25"/>
        <v>100000</v>
      </c>
      <c r="K31" s="7"/>
      <c r="L31" s="7"/>
      <c r="M31" s="7"/>
      <c r="N31" s="7"/>
    </row>
    <row r="32">
      <c r="A32" s="1" t="s">
        <v>25</v>
      </c>
      <c r="B32" s="1" t="s">
        <v>4</v>
      </c>
      <c r="C32" s="2" t="s">
        <v>36</v>
      </c>
      <c r="D32" s="7">
        <f>+10000</f>
        <v>10000</v>
      </c>
      <c r="E32" s="7">
        <f>+15000</f>
        <v>15000</v>
      </c>
      <c r="F32" s="7">
        <f>+25000</f>
        <v>25000</v>
      </c>
      <c r="G32" s="7">
        <f>+15000</f>
        <v>15000</v>
      </c>
      <c r="H32" s="7">
        <f>+10000</f>
        <v>10000</v>
      </c>
      <c r="I32" s="7">
        <f t="shared" ref="I32:J32" si="26">+100000</f>
        <v>100000</v>
      </c>
      <c r="J32" s="7">
        <f t="shared" si="26"/>
        <v>100000</v>
      </c>
      <c r="K32" s="7"/>
      <c r="L32" s="7"/>
      <c r="M32" s="7"/>
      <c r="N32" s="7"/>
    </row>
    <row r="33">
      <c r="A33" s="1" t="s">
        <v>25</v>
      </c>
      <c r="B33" s="1" t="s">
        <v>4</v>
      </c>
      <c r="C33" s="2" t="s">
        <v>37</v>
      </c>
      <c r="D33" s="7">
        <f t="shared" ref="D33:E33" si="27">+50000</f>
        <v>50000</v>
      </c>
      <c r="E33" s="7">
        <f t="shared" si="27"/>
        <v>50000</v>
      </c>
      <c r="F33" s="7">
        <f t="shared" ref="F33:G33" si="28">+100000</f>
        <v>100000</v>
      </c>
      <c r="G33" s="7">
        <f t="shared" si="28"/>
        <v>100000</v>
      </c>
      <c r="H33" s="7">
        <f>+50000</f>
        <v>50000</v>
      </c>
      <c r="I33" s="7">
        <f t="shared" ref="I33:J33" si="29">+100000</f>
        <v>100000</v>
      </c>
      <c r="J33" s="7">
        <f t="shared" si="29"/>
        <v>100000</v>
      </c>
      <c r="K33" s="7"/>
      <c r="L33" s="7"/>
      <c r="M33" s="7"/>
      <c r="N33" s="7"/>
    </row>
    <row r="34">
      <c r="A34" s="1" t="s">
        <v>25</v>
      </c>
      <c r="B34" s="1" t="s">
        <v>4</v>
      </c>
      <c r="C34" s="2" t="s">
        <v>38</v>
      </c>
      <c r="D34" s="7">
        <f t="shared" ref="D34:E34" si="30">+50000</f>
        <v>50000</v>
      </c>
      <c r="E34" s="7">
        <f t="shared" si="30"/>
        <v>50000</v>
      </c>
      <c r="F34" s="7">
        <f t="shared" ref="F34:H34" si="31">+150000</f>
        <v>150000</v>
      </c>
      <c r="G34" s="7">
        <f t="shared" si="31"/>
        <v>150000</v>
      </c>
      <c r="H34" s="7">
        <f t="shared" si="31"/>
        <v>150000</v>
      </c>
      <c r="I34" s="7">
        <f t="shared" ref="I34:J34" si="32">+250000</f>
        <v>250000</v>
      </c>
      <c r="J34" s="7">
        <f t="shared" si="32"/>
        <v>250000</v>
      </c>
      <c r="K34" s="7"/>
      <c r="L34" s="7"/>
      <c r="M34" s="7"/>
      <c r="N34" s="7"/>
    </row>
    <row r="35">
      <c r="A35" s="1" t="s">
        <v>25</v>
      </c>
      <c r="B35" s="1" t="s">
        <v>4</v>
      </c>
      <c r="C35" s="2" t="s">
        <v>39</v>
      </c>
      <c r="D35" s="7">
        <f>+15000</f>
        <v>15000</v>
      </c>
      <c r="E35" s="7">
        <f t="shared" ref="E35:E36" si="34">+20000</f>
        <v>20000</v>
      </c>
      <c r="F35" s="7">
        <f t="shared" ref="F35:H35" si="33">+100000</f>
        <v>100000</v>
      </c>
      <c r="G35" s="7">
        <f t="shared" si="33"/>
        <v>100000</v>
      </c>
      <c r="H35" s="7">
        <f t="shared" si="33"/>
        <v>100000</v>
      </c>
      <c r="I35" s="7"/>
      <c r="J35" s="7"/>
      <c r="K35" s="7"/>
      <c r="L35" s="7"/>
      <c r="M35" s="7"/>
      <c r="N35" s="7"/>
    </row>
    <row r="36">
      <c r="A36" s="1" t="s">
        <v>25</v>
      </c>
      <c r="B36" s="1" t="s">
        <v>4</v>
      </c>
      <c r="C36" s="2" t="s">
        <v>40</v>
      </c>
      <c r="D36" s="7">
        <f t="shared" ref="D36:D40" si="36">+50000</f>
        <v>50000</v>
      </c>
      <c r="E36" s="7">
        <f t="shared" si="34"/>
        <v>20000</v>
      </c>
      <c r="F36" s="7">
        <f t="shared" ref="F36:H36" si="35">+100000</f>
        <v>100000</v>
      </c>
      <c r="G36" s="7">
        <f t="shared" si="35"/>
        <v>100000</v>
      </c>
      <c r="H36" s="7">
        <f t="shared" si="35"/>
        <v>100000</v>
      </c>
      <c r="I36" s="7"/>
      <c r="J36" s="7"/>
      <c r="K36" s="7"/>
      <c r="L36" s="7"/>
      <c r="M36" s="7"/>
      <c r="N36" s="7"/>
    </row>
    <row r="37">
      <c r="A37" s="1" t="s">
        <v>25</v>
      </c>
      <c r="B37" s="1" t="s">
        <v>4</v>
      </c>
      <c r="C37" s="2" t="s">
        <v>41</v>
      </c>
      <c r="D37" s="7">
        <f t="shared" si="36"/>
        <v>50000</v>
      </c>
      <c r="E37" s="7">
        <f t="shared" ref="E37:E40" si="38">+50000</f>
        <v>50000</v>
      </c>
      <c r="F37" s="7">
        <f t="shared" ref="F37:H37" si="37">+100000</f>
        <v>100000</v>
      </c>
      <c r="G37" s="7">
        <f t="shared" si="37"/>
        <v>100000</v>
      </c>
      <c r="H37" s="7">
        <f t="shared" si="37"/>
        <v>100000</v>
      </c>
      <c r="I37" s="7"/>
      <c r="J37" s="7"/>
      <c r="K37" s="7"/>
      <c r="L37" s="7"/>
      <c r="M37" s="7"/>
      <c r="N37" s="7"/>
    </row>
    <row r="38">
      <c r="A38" s="1" t="s">
        <v>25</v>
      </c>
      <c r="B38" s="1" t="s">
        <v>4</v>
      </c>
      <c r="C38" s="2" t="s">
        <v>42</v>
      </c>
      <c r="D38" s="7">
        <f t="shared" si="36"/>
        <v>50000</v>
      </c>
      <c r="E38" s="7">
        <f t="shared" si="38"/>
        <v>50000</v>
      </c>
      <c r="F38" s="7">
        <f t="shared" ref="F38:H38" si="39">+100000</f>
        <v>100000</v>
      </c>
      <c r="G38" s="7">
        <f t="shared" si="39"/>
        <v>100000</v>
      </c>
      <c r="H38" s="7">
        <f t="shared" si="39"/>
        <v>100000</v>
      </c>
      <c r="I38" s="7"/>
      <c r="J38" s="7"/>
      <c r="K38" s="7"/>
      <c r="L38" s="7"/>
      <c r="M38" s="7"/>
      <c r="N38" s="7"/>
    </row>
    <row r="39">
      <c r="A39" s="1" t="s">
        <v>25</v>
      </c>
      <c r="B39" s="1" t="s">
        <v>4</v>
      </c>
      <c r="C39" s="2" t="s">
        <v>43</v>
      </c>
      <c r="D39" s="7">
        <f t="shared" si="36"/>
        <v>50000</v>
      </c>
      <c r="E39" s="7">
        <f t="shared" si="38"/>
        <v>50000</v>
      </c>
      <c r="F39" s="7">
        <f>+100000</f>
        <v>100000</v>
      </c>
      <c r="G39" s="7">
        <f t="shared" ref="G39:H39" si="40">+150000</f>
        <v>150000</v>
      </c>
      <c r="H39" s="7">
        <f t="shared" si="40"/>
        <v>150000</v>
      </c>
      <c r="I39" s="7"/>
      <c r="J39" s="7"/>
      <c r="K39" s="7"/>
      <c r="L39" s="7"/>
      <c r="M39" s="7"/>
      <c r="N39" s="7"/>
    </row>
    <row r="40">
      <c r="A40" s="1" t="s">
        <v>25</v>
      </c>
      <c r="B40" s="1" t="s">
        <v>4</v>
      </c>
      <c r="C40" s="2" t="s">
        <v>44</v>
      </c>
      <c r="D40" s="7">
        <f t="shared" si="36"/>
        <v>50000</v>
      </c>
      <c r="E40" s="7">
        <f t="shared" si="38"/>
        <v>50000</v>
      </c>
      <c r="F40" s="7">
        <f t="shared" ref="F40:H40" si="41">+200000</f>
        <v>200000</v>
      </c>
      <c r="G40" s="7">
        <f t="shared" si="41"/>
        <v>200000</v>
      </c>
      <c r="H40" s="7">
        <f t="shared" si="41"/>
        <v>200000</v>
      </c>
      <c r="I40" s="7"/>
      <c r="J40" s="7"/>
      <c r="K40" s="7"/>
      <c r="L40" s="7"/>
      <c r="M40" s="7"/>
      <c r="N40" s="7"/>
    </row>
    <row r="41">
      <c r="A41" s="1" t="s">
        <v>25</v>
      </c>
      <c r="B41" s="1" t="s">
        <v>4</v>
      </c>
      <c r="C41" s="2" t="s">
        <v>45</v>
      </c>
      <c r="D41" s="7">
        <f t="shared" ref="D41:E41" si="42">+75000</f>
        <v>75000</v>
      </c>
      <c r="E41" s="7">
        <f t="shared" si="42"/>
        <v>75000</v>
      </c>
      <c r="F41" s="7">
        <f t="shared" ref="F41:H41" si="43">+200000</f>
        <v>200000</v>
      </c>
      <c r="G41" s="7">
        <f t="shared" si="43"/>
        <v>200000</v>
      </c>
      <c r="H41" s="7">
        <f t="shared" si="43"/>
        <v>200000</v>
      </c>
      <c r="I41" s="7"/>
      <c r="J41" s="7"/>
      <c r="K41" s="7"/>
      <c r="L41" s="7"/>
      <c r="M41" s="7"/>
      <c r="N41" s="7"/>
    </row>
    <row r="42">
      <c r="A42" s="1" t="s">
        <v>25</v>
      </c>
      <c r="B42" s="1" t="s">
        <v>4</v>
      </c>
      <c r="C42" s="2" t="s">
        <v>46</v>
      </c>
      <c r="D42" s="7">
        <f t="shared" ref="D42:E42" si="44">+50000</f>
        <v>50000</v>
      </c>
      <c r="E42" s="7">
        <f t="shared" si="44"/>
        <v>50000</v>
      </c>
      <c r="F42" s="7">
        <f>+200000</f>
        <v>200000</v>
      </c>
      <c r="G42" s="7">
        <f t="shared" ref="G42:H42" si="45">+250000</f>
        <v>250000</v>
      </c>
      <c r="H42" s="7">
        <f t="shared" si="45"/>
        <v>250000</v>
      </c>
      <c r="I42" s="7"/>
    </row>
    <row r="43">
      <c r="C43" s="3" t="s">
        <v>2</v>
      </c>
      <c r="D43" s="5">
        <v>45805.0</v>
      </c>
      <c r="E43" s="4">
        <v>45880.0</v>
      </c>
      <c r="F43" s="4">
        <v>45931.0</v>
      </c>
      <c r="G43" s="4">
        <v>45962.0</v>
      </c>
      <c r="H43" s="4">
        <v>45992.0</v>
      </c>
      <c r="I43" s="4">
        <v>45658.0</v>
      </c>
      <c r="J43" s="4">
        <v>45689.0</v>
      </c>
      <c r="K43" s="4">
        <v>45717.0</v>
      </c>
      <c r="L43" s="4">
        <v>45748.0</v>
      </c>
      <c r="M43" s="5">
        <v>45778.0</v>
      </c>
      <c r="N43" s="6"/>
    </row>
    <row r="44">
      <c r="A44" s="1" t="s">
        <v>47</v>
      </c>
      <c r="B44" s="1" t="s">
        <v>4</v>
      </c>
      <c r="C44" s="2" t="s">
        <v>48</v>
      </c>
      <c r="D44" s="8">
        <v>-175.0</v>
      </c>
      <c r="E44" s="8">
        <v>-150.0</v>
      </c>
      <c r="F44" s="8">
        <v>-225.0</v>
      </c>
      <c r="G44" s="8">
        <v>-165.0</v>
      </c>
      <c r="H44" s="8">
        <v>-225.0</v>
      </c>
      <c r="I44" s="8">
        <v>-150.0</v>
      </c>
      <c r="J44" s="8">
        <v>-150.0</v>
      </c>
      <c r="K44" s="7">
        <f>+110</f>
        <v>110</v>
      </c>
      <c r="L44" s="7">
        <f>+180</f>
        <v>180</v>
      </c>
      <c r="M44" s="8">
        <v>-275.0</v>
      </c>
      <c r="N44" s="8" t="s">
        <v>27</v>
      </c>
    </row>
    <row r="45">
      <c r="A45" s="1" t="s">
        <v>47</v>
      </c>
      <c r="B45" s="1" t="s">
        <v>4</v>
      </c>
      <c r="C45" s="2" t="s">
        <v>49</v>
      </c>
      <c r="D45" s="7">
        <f t="shared" ref="D45:D46" si="47">+900</f>
        <v>900</v>
      </c>
      <c r="E45" s="7">
        <f>+450</f>
        <v>450</v>
      </c>
      <c r="F45" s="7">
        <f t="shared" ref="F45:H45" si="46">+500</f>
        <v>500</v>
      </c>
      <c r="G45" s="7">
        <f t="shared" si="46"/>
        <v>500</v>
      </c>
      <c r="H45" s="7">
        <f t="shared" si="46"/>
        <v>500</v>
      </c>
      <c r="I45" s="7">
        <f>+400</f>
        <v>400</v>
      </c>
      <c r="J45" s="7">
        <f>+800</f>
        <v>800</v>
      </c>
      <c r="K45" s="7">
        <f>+275</f>
        <v>275</v>
      </c>
      <c r="L45" s="7">
        <f>+250</f>
        <v>250</v>
      </c>
      <c r="M45" s="7">
        <f>+200</f>
        <v>200</v>
      </c>
      <c r="N45" s="7"/>
    </row>
    <row r="46">
      <c r="A46" s="1" t="s">
        <v>47</v>
      </c>
      <c r="B46" s="1" t="s">
        <v>4</v>
      </c>
      <c r="C46" s="2" t="s">
        <v>50</v>
      </c>
      <c r="D46" s="7">
        <f t="shared" si="47"/>
        <v>900</v>
      </c>
      <c r="E46" s="7">
        <f>+800</f>
        <v>800</v>
      </c>
      <c r="F46" s="7">
        <f>+650</f>
        <v>650</v>
      </c>
      <c r="G46" s="7">
        <f>+500</f>
        <v>500</v>
      </c>
      <c r="H46" s="7">
        <f>+650</f>
        <v>650</v>
      </c>
      <c r="I46" s="7">
        <f>+300</f>
        <v>300</v>
      </c>
      <c r="J46" s="7">
        <f>+200</f>
        <v>200</v>
      </c>
      <c r="K46" s="7">
        <f>+175</f>
        <v>175</v>
      </c>
      <c r="L46" s="7">
        <f>+120</f>
        <v>120</v>
      </c>
      <c r="M46" s="7">
        <f>+10000</f>
        <v>10000</v>
      </c>
      <c r="N46" s="7"/>
    </row>
    <row r="47">
      <c r="A47" s="1" t="s">
        <v>47</v>
      </c>
      <c r="B47" s="1" t="s">
        <v>4</v>
      </c>
      <c r="C47" s="2" t="s">
        <v>51</v>
      </c>
      <c r="D47" s="7">
        <f t="shared" ref="D47:E47" si="48">+12500</f>
        <v>12500</v>
      </c>
      <c r="E47" s="7">
        <f t="shared" si="48"/>
        <v>12500</v>
      </c>
      <c r="F47" s="7">
        <f>+6600</f>
        <v>6600</v>
      </c>
      <c r="G47" s="7">
        <f>+5000</f>
        <v>5000</v>
      </c>
      <c r="H47" s="7">
        <f>+6600</f>
        <v>6600</v>
      </c>
      <c r="I47" s="7">
        <f>+2500</f>
        <v>2500</v>
      </c>
      <c r="J47" s="7">
        <f>+8000</f>
        <v>8000</v>
      </c>
      <c r="K47" s="7">
        <f t="shared" ref="K47:K48" si="50">+10000</f>
        <v>10000</v>
      </c>
      <c r="L47" s="7">
        <f>+20000</f>
        <v>20000</v>
      </c>
      <c r="M47" s="7"/>
      <c r="N47" s="7"/>
    </row>
    <row r="48">
      <c r="A48" s="1" t="s">
        <v>47</v>
      </c>
      <c r="B48" s="1" t="s">
        <v>4</v>
      </c>
      <c r="C48" s="2" t="s">
        <v>52</v>
      </c>
      <c r="D48" s="7">
        <f t="shared" ref="D48:E48" si="49">+4000</f>
        <v>4000</v>
      </c>
      <c r="E48" s="7">
        <f t="shared" si="49"/>
        <v>4000</v>
      </c>
      <c r="F48" s="7">
        <f>+1600</f>
        <v>1600</v>
      </c>
      <c r="G48" s="7">
        <f>+900</f>
        <v>900</v>
      </c>
      <c r="H48" s="7">
        <f>+1600</f>
        <v>1600</v>
      </c>
      <c r="I48" s="7">
        <f>+5000</f>
        <v>5000</v>
      </c>
      <c r="J48" s="7">
        <f>+2800</f>
        <v>2800</v>
      </c>
      <c r="K48" s="7">
        <f t="shared" si="50"/>
        <v>10000</v>
      </c>
      <c r="L48" s="7">
        <f>+25000</f>
        <v>25000</v>
      </c>
      <c r="M48" s="7"/>
      <c r="N48" s="7"/>
    </row>
    <row r="49">
      <c r="A49" s="1" t="s">
        <v>47</v>
      </c>
      <c r="B49" s="1" t="s">
        <v>4</v>
      </c>
      <c r="C49" s="2" t="s">
        <v>53</v>
      </c>
      <c r="D49" s="7">
        <f t="shared" ref="D49:E49" si="51">+1000</f>
        <v>1000</v>
      </c>
      <c r="E49" s="7">
        <f t="shared" si="51"/>
        <v>1000</v>
      </c>
      <c r="F49" s="7">
        <f>+10000</f>
        <v>10000</v>
      </c>
      <c r="G49" s="7">
        <f>+20000</f>
        <v>20000</v>
      </c>
      <c r="H49" s="7">
        <f>+10000</f>
        <v>10000</v>
      </c>
      <c r="I49" s="7">
        <f t="shared" ref="I49:J49" si="52">+50000</f>
        <v>50000</v>
      </c>
      <c r="J49" s="7">
        <f t="shared" si="52"/>
        <v>50000</v>
      </c>
      <c r="K49" s="7"/>
      <c r="L49" s="7"/>
      <c r="M49" s="7"/>
      <c r="N49" s="7"/>
    </row>
    <row r="50">
      <c r="A50" s="1" t="s">
        <v>47</v>
      </c>
      <c r="B50" s="1" t="s">
        <v>4</v>
      </c>
      <c r="C50" s="2" t="s">
        <v>54</v>
      </c>
      <c r="D50" s="7">
        <f t="shared" ref="D50:E50" si="53">+20000</f>
        <v>20000</v>
      </c>
      <c r="E50" s="7">
        <f t="shared" si="53"/>
        <v>20000</v>
      </c>
      <c r="F50" s="7">
        <f>+50000</f>
        <v>50000</v>
      </c>
      <c r="G50" s="7">
        <f>+75000</f>
        <v>75000</v>
      </c>
      <c r="H50" s="7">
        <f t="shared" ref="H50:J50" si="54">+50000</f>
        <v>50000</v>
      </c>
      <c r="I50" s="7">
        <f t="shared" si="54"/>
        <v>50000</v>
      </c>
      <c r="J50" s="7">
        <f t="shared" si="54"/>
        <v>50000</v>
      </c>
      <c r="K50" s="7"/>
      <c r="L50" s="7"/>
      <c r="M50" s="7"/>
      <c r="N50" s="7"/>
    </row>
    <row r="51">
      <c r="A51" s="1" t="s">
        <v>47</v>
      </c>
      <c r="B51" s="1" t="s">
        <v>4</v>
      </c>
      <c r="C51" s="2" t="s">
        <v>55</v>
      </c>
      <c r="D51" s="7">
        <f>+1400</f>
        <v>1400</v>
      </c>
      <c r="E51" s="7">
        <f>+1600</f>
        <v>1600</v>
      </c>
      <c r="F51" s="7">
        <f>+3300</f>
        <v>3300</v>
      </c>
      <c r="G51" s="7">
        <f>+6600</f>
        <v>6600</v>
      </c>
      <c r="H51" s="7">
        <f>+3300</f>
        <v>3300</v>
      </c>
      <c r="I51" s="7">
        <f>+50000</f>
        <v>50000</v>
      </c>
      <c r="J51" s="7">
        <f>+100000</f>
        <v>100000</v>
      </c>
      <c r="K51" s="7"/>
      <c r="L51" s="7"/>
      <c r="M51" s="7"/>
      <c r="N51" s="7"/>
    </row>
    <row r="52">
      <c r="A52" s="1" t="s">
        <v>47</v>
      </c>
      <c r="B52" s="1" t="s">
        <v>4</v>
      </c>
      <c r="C52" s="2" t="s">
        <v>56</v>
      </c>
      <c r="D52" s="7">
        <f t="shared" ref="D52:E52" si="55">+5000</f>
        <v>5000</v>
      </c>
      <c r="E52" s="7">
        <f t="shared" si="55"/>
        <v>5000</v>
      </c>
      <c r="F52" s="7">
        <f>+4000</f>
        <v>4000</v>
      </c>
      <c r="G52" s="7">
        <f>+20000</f>
        <v>20000</v>
      </c>
      <c r="H52" s="7">
        <f>+4000</f>
        <v>4000</v>
      </c>
      <c r="I52" s="7">
        <f t="shared" ref="I52:J52" si="56">+100000</f>
        <v>100000</v>
      </c>
      <c r="J52" s="7">
        <f t="shared" si="56"/>
        <v>100000</v>
      </c>
      <c r="K52" s="7"/>
      <c r="L52" s="7"/>
      <c r="M52" s="7"/>
      <c r="N52" s="7"/>
    </row>
    <row r="53">
      <c r="A53" s="1" t="s">
        <v>47</v>
      </c>
      <c r="B53" s="1" t="s">
        <v>4</v>
      </c>
      <c r="C53" s="2" t="s">
        <v>57</v>
      </c>
      <c r="D53" s="7">
        <f t="shared" ref="D53:E53" si="57">+1200</f>
        <v>1200</v>
      </c>
      <c r="E53" s="7">
        <f t="shared" si="57"/>
        <v>1200</v>
      </c>
      <c r="F53" s="7">
        <f t="shared" ref="F53:H53" si="58">+20000</f>
        <v>20000</v>
      </c>
      <c r="G53" s="7">
        <f t="shared" si="58"/>
        <v>20000</v>
      </c>
      <c r="H53" s="7">
        <f t="shared" si="58"/>
        <v>20000</v>
      </c>
      <c r="I53" s="7">
        <f>+100000</f>
        <v>100000</v>
      </c>
      <c r="J53" s="7">
        <f>+150000</f>
        <v>150000</v>
      </c>
      <c r="K53" s="7"/>
      <c r="L53" s="7"/>
      <c r="M53" s="7"/>
      <c r="N53" s="7"/>
    </row>
    <row r="54">
      <c r="A54" s="1" t="s">
        <v>47</v>
      </c>
      <c r="B54" s="1" t="s">
        <v>4</v>
      </c>
      <c r="C54" s="2" t="s">
        <v>58</v>
      </c>
      <c r="D54" s="7">
        <f t="shared" ref="D54:D55" si="60">+30000</f>
        <v>30000</v>
      </c>
      <c r="E54" s="7">
        <f t="shared" ref="E54:E57" si="61">+50000</f>
        <v>50000</v>
      </c>
      <c r="F54" s="7">
        <f t="shared" ref="F54:I54" si="59">+100000</f>
        <v>100000</v>
      </c>
      <c r="G54" s="7">
        <f t="shared" si="59"/>
        <v>100000</v>
      </c>
      <c r="H54" s="7">
        <f t="shared" si="59"/>
        <v>100000</v>
      </c>
      <c r="I54" s="7">
        <f t="shared" si="59"/>
        <v>100000</v>
      </c>
      <c r="J54" s="7"/>
      <c r="K54" s="7"/>
      <c r="L54" s="7"/>
      <c r="M54" s="7"/>
      <c r="N54" s="7"/>
    </row>
    <row r="55">
      <c r="A55" s="1" t="s">
        <v>47</v>
      </c>
      <c r="B55" s="1" t="s">
        <v>4</v>
      </c>
      <c r="C55" s="2" t="s">
        <v>59</v>
      </c>
      <c r="D55" s="7">
        <f t="shared" si="60"/>
        <v>30000</v>
      </c>
      <c r="E55" s="7">
        <f t="shared" si="61"/>
        <v>50000</v>
      </c>
      <c r="F55" s="7">
        <f t="shared" ref="F55:H55" si="62">+100000</f>
        <v>100000</v>
      </c>
      <c r="G55" s="7">
        <f t="shared" si="62"/>
        <v>100000</v>
      </c>
      <c r="H55" s="7">
        <f t="shared" si="62"/>
        <v>100000</v>
      </c>
      <c r="I55" s="7">
        <f>+150000</f>
        <v>150000</v>
      </c>
      <c r="J55" s="7"/>
      <c r="K55" s="7"/>
      <c r="L55" s="7"/>
      <c r="M55" s="7"/>
      <c r="N55" s="7"/>
    </row>
    <row r="56">
      <c r="A56" s="1" t="s">
        <v>47</v>
      </c>
      <c r="B56" s="1" t="s">
        <v>4</v>
      </c>
      <c r="C56" s="2" t="s">
        <v>60</v>
      </c>
      <c r="D56" s="7">
        <f>+25000</f>
        <v>25000</v>
      </c>
      <c r="E56" s="7">
        <f t="shared" si="61"/>
        <v>50000</v>
      </c>
      <c r="F56" s="7">
        <f t="shared" ref="F56:H56" si="63">+100000</f>
        <v>100000</v>
      </c>
      <c r="G56" s="7">
        <f t="shared" si="63"/>
        <v>100000</v>
      </c>
      <c r="H56" s="7">
        <f t="shared" si="63"/>
        <v>100000</v>
      </c>
      <c r="I56" s="7">
        <f t="shared" ref="I56:I57" si="65">+200000</f>
        <v>200000</v>
      </c>
      <c r="J56" s="7"/>
      <c r="K56" s="7"/>
      <c r="L56" s="7"/>
      <c r="M56" s="7"/>
      <c r="N56" s="7"/>
    </row>
    <row r="57">
      <c r="A57" s="1" t="s">
        <v>47</v>
      </c>
      <c r="B57" s="1" t="s">
        <v>4</v>
      </c>
      <c r="C57" s="2" t="s">
        <v>61</v>
      </c>
      <c r="D57" s="7">
        <f>+30000</f>
        <v>30000</v>
      </c>
      <c r="E57" s="7">
        <f t="shared" si="61"/>
        <v>50000</v>
      </c>
      <c r="F57" s="7">
        <f t="shared" ref="F57:H57" si="64">+100000</f>
        <v>100000</v>
      </c>
      <c r="G57" s="7">
        <f t="shared" si="64"/>
        <v>100000</v>
      </c>
      <c r="H57" s="7">
        <f t="shared" si="64"/>
        <v>100000</v>
      </c>
      <c r="I57" s="7">
        <f t="shared" si="65"/>
        <v>200000</v>
      </c>
      <c r="J57" s="7"/>
      <c r="K57" s="7"/>
      <c r="L57" s="7"/>
      <c r="M57" s="7"/>
      <c r="N57" s="7"/>
    </row>
    <row r="58">
      <c r="A58" s="1" t="s">
        <v>47</v>
      </c>
      <c r="B58" s="1" t="s">
        <v>4</v>
      </c>
      <c r="C58" s="2" t="s">
        <v>62</v>
      </c>
      <c r="D58" s="7">
        <f t="shared" ref="D58:E58" si="66">+25000</f>
        <v>25000</v>
      </c>
      <c r="E58" s="7">
        <f t="shared" si="66"/>
        <v>25000</v>
      </c>
      <c r="F58" s="7">
        <f t="shared" ref="F58:H58" si="67">+100000</f>
        <v>100000</v>
      </c>
      <c r="G58" s="7">
        <f t="shared" si="67"/>
        <v>100000</v>
      </c>
      <c r="H58" s="7">
        <f t="shared" si="67"/>
        <v>100000</v>
      </c>
      <c r="I58" s="7">
        <f t="shared" ref="I58:I59" si="69">+250000</f>
        <v>250000</v>
      </c>
      <c r="J58" s="7"/>
      <c r="K58" s="7"/>
      <c r="L58" s="7"/>
      <c r="M58" s="7"/>
      <c r="N58" s="7"/>
    </row>
    <row r="59">
      <c r="A59" s="1" t="s">
        <v>47</v>
      </c>
      <c r="B59" s="1" t="s">
        <v>4</v>
      </c>
      <c r="C59" s="2" t="s">
        <v>63</v>
      </c>
      <c r="D59" s="7">
        <f>+25000</f>
        <v>25000</v>
      </c>
      <c r="E59" s="7">
        <f>+50000</f>
        <v>50000</v>
      </c>
      <c r="F59" s="7">
        <f t="shared" ref="F59:H59" si="68">+100000</f>
        <v>100000</v>
      </c>
      <c r="G59" s="7">
        <f t="shared" si="68"/>
        <v>100000</v>
      </c>
      <c r="H59" s="7">
        <f t="shared" si="68"/>
        <v>100000</v>
      </c>
      <c r="I59" s="7">
        <f t="shared" si="69"/>
        <v>250000</v>
      </c>
      <c r="J59" s="7"/>
      <c r="K59" s="7"/>
      <c r="L59" s="7"/>
      <c r="M59" s="7"/>
      <c r="N59" s="7"/>
    </row>
    <row r="60">
      <c r="A60" s="1" t="s">
        <v>47</v>
      </c>
      <c r="B60" s="1" t="s">
        <v>4</v>
      </c>
      <c r="C60" s="2" t="s">
        <v>64</v>
      </c>
      <c r="D60" s="7">
        <f>+50000</f>
        <v>50000</v>
      </c>
      <c r="E60" s="7">
        <f>+75000</f>
        <v>75000</v>
      </c>
      <c r="F60" s="7">
        <f>+100000</f>
        <v>100000</v>
      </c>
      <c r="G60" s="7">
        <f>+200000</f>
        <v>200000</v>
      </c>
      <c r="H60" s="7">
        <f>+100000</f>
        <v>100000</v>
      </c>
      <c r="I60" s="7"/>
      <c r="J60" s="7"/>
      <c r="K60" s="7"/>
      <c r="L60" s="7"/>
      <c r="M60" s="7"/>
      <c r="N60" s="7"/>
    </row>
    <row r="61">
      <c r="A61" s="1" t="s">
        <v>47</v>
      </c>
      <c r="B61" s="1" t="s">
        <v>4</v>
      </c>
      <c r="C61" s="2" t="s">
        <v>65</v>
      </c>
      <c r="D61" s="7">
        <f>+30000</f>
        <v>30000</v>
      </c>
      <c r="E61" s="7">
        <f>+50000</f>
        <v>50000</v>
      </c>
      <c r="F61" s="7">
        <f t="shared" ref="F61:H61" si="70">+200000</f>
        <v>200000</v>
      </c>
      <c r="G61" s="7">
        <f t="shared" si="70"/>
        <v>200000</v>
      </c>
      <c r="H61" s="7">
        <f t="shared" si="70"/>
        <v>200000</v>
      </c>
      <c r="I61" s="7"/>
      <c r="J61" s="7"/>
      <c r="K61" s="7"/>
      <c r="L61" s="7"/>
      <c r="M61" s="7"/>
      <c r="N61" s="7"/>
    </row>
    <row r="62">
      <c r="A62" s="1" t="s">
        <v>47</v>
      </c>
      <c r="B62" s="1" t="s">
        <v>4</v>
      </c>
      <c r="C62" s="2" t="s">
        <v>66</v>
      </c>
      <c r="D62" s="7">
        <f>+50000</f>
        <v>50000</v>
      </c>
      <c r="E62" s="7">
        <f>+75000</f>
        <v>75000</v>
      </c>
      <c r="F62" s="7">
        <f t="shared" ref="F62:H62" si="71">+250000</f>
        <v>250000</v>
      </c>
      <c r="G62" s="7">
        <f t="shared" si="71"/>
        <v>250000</v>
      </c>
      <c r="H62" s="7">
        <f t="shared" si="71"/>
        <v>250000</v>
      </c>
      <c r="I62" s="7"/>
      <c r="J62" s="7"/>
      <c r="K62" s="7"/>
      <c r="L62" s="7"/>
      <c r="M62" s="7"/>
      <c r="N62" s="7"/>
    </row>
    <row r="63">
      <c r="A63" s="1" t="s">
        <v>47</v>
      </c>
      <c r="B63" s="1" t="s">
        <v>4</v>
      </c>
      <c r="C63" s="2" t="s">
        <v>67</v>
      </c>
      <c r="D63" s="7">
        <f>+75000</f>
        <v>75000</v>
      </c>
      <c r="E63" s="7">
        <f t="shared" ref="E63:H63" si="72">+300000</f>
        <v>300000</v>
      </c>
      <c r="F63" s="7">
        <f t="shared" si="72"/>
        <v>300000</v>
      </c>
      <c r="G63" s="7">
        <f t="shared" si="72"/>
        <v>300000</v>
      </c>
      <c r="H63" s="7">
        <f t="shared" si="72"/>
        <v>300000</v>
      </c>
      <c r="I63" s="7"/>
    </row>
    <row r="64">
      <c r="C64" s="3" t="s">
        <v>2</v>
      </c>
      <c r="D64" s="4">
        <v>45809.0</v>
      </c>
      <c r="E64" s="4">
        <v>45874.0</v>
      </c>
      <c r="F64" s="4">
        <v>45931.0</v>
      </c>
      <c r="G64" s="4">
        <v>45962.0</v>
      </c>
      <c r="H64" s="4">
        <v>45992.0</v>
      </c>
      <c r="I64" s="4">
        <v>45658.0</v>
      </c>
      <c r="J64" s="4">
        <v>45689.0</v>
      </c>
      <c r="K64" s="4">
        <v>45717.0</v>
      </c>
      <c r="L64" s="4">
        <v>45748.0</v>
      </c>
      <c r="M64" s="5">
        <v>45778.0</v>
      </c>
      <c r="N64" s="6"/>
    </row>
    <row r="65">
      <c r="A65" s="1" t="s">
        <v>68</v>
      </c>
      <c r="B65" s="1" t="s">
        <v>4</v>
      </c>
      <c r="C65" s="2" t="s">
        <v>69</v>
      </c>
      <c r="D65" s="8">
        <v>-160.0</v>
      </c>
      <c r="E65" s="8">
        <v>-140.0</v>
      </c>
      <c r="F65" s="8">
        <v>-450.0</v>
      </c>
      <c r="G65" s="8">
        <v>-650.0</v>
      </c>
      <c r="H65" s="8">
        <v>-225.0</v>
      </c>
      <c r="I65" s="8">
        <v>-135.0</v>
      </c>
      <c r="J65" s="7">
        <f>+120</f>
        <v>120</v>
      </c>
      <c r="K65" s="8">
        <v>-120.0</v>
      </c>
      <c r="L65" s="7">
        <f>+138</f>
        <v>138</v>
      </c>
      <c r="M65" s="8">
        <v>-2000.0</v>
      </c>
      <c r="N65" s="8" t="s">
        <v>27</v>
      </c>
    </row>
    <row r="66">
      <c r="A66" s="1" t="s">
        <v>68</v>
      </c>
      <c r="B66" s="1" t="s">
        <v>4</v>
      </c>
      <c r="C66" s="2" t="s">
        <v>70</v>
      </c>
      <c r="D66" s="7">
        <f>+5000</f>
        <v>5000</v>
      </c>
      <c r="E66" s="7">
        <f>+3300</f>
        <v>3300</v>
      </c>
      <c r="F66" s="7">
        <f>+800</f>
        <v>800</v>
      </c>
      <c r="G66" s="7">
        <f>+600</f>
        <v>600</v>
      </c>
      <c r="H66" s="7">
        <f>+225</f>
        <v>225</v>
      </c>
      <c r="I66" s="7">
        <f>+115</f>
        <v>115</v>
      </c>
      <c r="J66" s="8">
        <v>-140.0</v>
      </c>
      <c r="K66" s="7">
        <f>+110</f>
        <v>110</v>
      </c>
      <c r="L66" s="8">
        <v>-165.0</v>
      </c>
      <c r="M66" s="7">
        <f>+1000</f>
        <v>1000</v>
      </c>
      <c r="N66" s="7"/>
    </row>
    <row r="67">
      <c r="A67" s="1" t="s">
        <v>68</v>
      </c>
      <c r="B67" s="1" t="s">
        <v>4</v>
      </c>
      <c r="C67" s="2" t="s">
        <v>71</v>
      </c>
      <c r="D67" s="7">
        <f>+2500</f>
        <v>2500</v>
      </c>
      <c r="E67" s="7">
        <f>+4000</f>
        <v>4000</v>
      </c>
      <c r="F67" s="7">
        <f>+6600</f>
        <v>6600</v>
      </c>
      <c r="G67" s="7">
        <f>+4000</f>
        <v>4000</v>
      </c>
      <c r="H67" s="7">
        <f t="shared" ref="H67:I67" si="73">+5000</f>
        <v>5000</v>
      </c>
      <c r="I67" s="7">
        <f t="shared" si="73"/>
        <v>5000</v>
      </c>
      <c r="J67" s="7">
        <f>+3300</f>
        <v>3300</v>
      </c>
      <c r="K67" s="7">
        <f>+1200</f>
        <v>1200</v>
      </c>
      <c r="L67" s="7">
        <f>+10000</f>
        <v>10000</v>
      </c>
      <c r="M67" s="7"/>
      <c r="N67" s="7"/>
    </row>
    <row r="68">
      <c r="A68" s="1" t="s">
        <v>68</v>
      </c>
      <c r="B68" s="1" t="s">
        <v>4</v>
      </c>
      <c r="C68" s="2" t="s">
        <v>72</v>
      </c>
      <c r="D68" s="7">
        <f>+6600</f>
        <v>6600</v>
      </c>
      <c r="E68" s="7">
        <f>+15000</f>
        <v>15000</v>
      </c>
      <c r="F68" s="7">
        <f>+20000</f>
        <v>20000</v>
      </c>
      <c r="G68" s="7">
        <f>+6600</f>
        <v>6600</v>
      </c>
      <c r="H68" s="7">
        <f t="shared" ref="H68:I68" si="74">+3300</f>
        <v>3300</v>
      </c>
      <c r="I68" s="7">
        <f t="shared" si="74"/>
        <v>3300</v>
      </c>
      <c r="J68" s="7">
        <f>+6600</f>
        <v>6600</v>
      </c>
      <c r="K68" s="7">
        <f>+20000</f>
        <v>20000</v>
      </c>
      <c r="L68" s="7">
        <f t="shared" ref="L68:L69" si="75">+50000</f>
        <v>50000</v>
      </c>
      <c r="M68" s="7"/>
      <c r="N68" s="7"/>
    </row>
    <row r="69">
      <c r="A69" s="1" t="s">
        <v>68</v>
      </c>
      <c r="B69" s="1" t="s">
        <v>4</v>
      </c>
      <c r="C69" s="2" t="s">
        <v>73</v>
      </c>
      <c r="D69" s="7">
        <f>+1600</f>
        <v>1600</v>
      </c>
      <c r="E69" s="7">
        <f>+1400</f>
        <v>1400</v>
      </c>
      <c r="F69" s="7">
        <f>+2200</f>
        <v>2200</v>
      </c>
      <c r="G69" s="7">
        <f t="shared" ref="G69:G71" si="77">+4000</f>
        <v>4000</v>
      </c>
      <c r="H69" s="7">
        <f>+5000</f>
        <v>5000</v>
      </c>
      <c r="I69" s="7">
        <f>+10000</f>
        <v>10000</v>
      </c>
      <c r="J69" s="7">
        <f>+50000</f>
        <v>50000</v>
      </c>
      <c r="K69" s="7">
        <f>+25000</f>
        <v>25000</v>
      </c>
      <c r="L69" s="7">
        <f t="shared" si="75"/>
        <v>50000</v>
      </c>
      <c r="M69" s="7"/>
      <c r="N69" s="7"/>
    </row>
    <row r="70">
      <c r="A70" s="1" t="s">
        <v>68</v>
      </c>
      <c r="B70" s="1" t="s">
        <v>4</v>
      </c>
      <c r="C70" s="2" t="s">
        <v>74</v>
      </c>
      <c r="D70" s="7">
        <f t="shared" ref="D70:E70" si="76">+225</f>
        <v>225</v>
      </c>
      <c r="E70" s="7">
        <f t="shared" si="76"/>
        <v>225</v>
      </c>
      <c r="F70" s="7">
        <f>+1100</f>
        <v>1100</v>
      </c>
      <c r="G70" s="7">
        <f t="shared" si="77"/>
        <v>4000</v>
      </c>
      <c r="H70" s="7">
        <f>+3300</f>
        <v>3300</v>
      </c>
      <c r="I70" s="7">
        <f>+2800</f>
        <v>2800</v>
      </c>
      <c r="J70" s="7">
        <f t="shared" ref="J70:K70" si="78">+25000</f>
        <v>25000</v>
      </c>
      <c r="K70" s="7">
        <f t="shared" si="78"/>
        <v>25000</v>
      </c>
      <c r="L70" s="7">
        <f>+100000</f>
        <v>100000</v>
      </c>
      <c r="M70" s="7"/>
      <c r="N70" s="7"/>
    </row>
    <row r="71">
      <c r="A71" s="1" t="s">
        <v>68</v>
      </c>
      <c r="B71" s="1" t="s">
        <v>4</v>
      </c>
      <c r="C71" s="2" t="s">
        <v>75</v>
      </c>
      <c r="D71" s="7">
        <f t="shared" ref="D71:E71" si="79">+1600</f>
        <v>1600</v>
      </c>
      <c r="E71" s="7">
        <f t="shared" si="79"/>
        <v>1600</v>
      </c>
      <c r="F71" s="7">
        <f>+2800</f>
        <v>2800</v>
      </c>
      <c r="G71" s="7">
        <f t="shared" si="77"/>
        <v>4000</v>
      </c>
      <c r="H71" s="7">
        <f t="shared" ref="H71:I71" si="80">+20000</f>
        <v>20000</v>
      </c>
      <c r="I71" s="7">
        <f t="shared" si="80"/>
        <v>20000</v>
      </c>
      <c r="J71" s="7">
        <f>+75000</f>
        <v>75000</v>
      </c>
      <c r="K71" s="7"/>
      <c r="L71" s="7"/>
      <c r="M71" s="7"/>
      <c r="N71" s="7"/>
    </row>
    <row r="72">
      <c r="A72" s="1" t="s">
        <v>68</v>
      </c>
      <c r="B72" s="1" t="s">
        <v>4</v>
      </c>
      <c r="C72" s="2" t="s">
        <v>76</v>
      </c>
      <c r="D72" s="7">
        <f t="shared" ref="D72:E72" si="81">+25000</f>
        <v>25000</v>
      </c>
      <c r="E72" s="7">
        <f t="shared" si="81"/>
        <v>25000</v>
      </c>
      <c r="F72" s="7">
        <f>+15000</f>
        <v>15000</v>
      </c>
      <c r="G72" s="7">
        <f>+25000</f>
        <v>25000</v>
      </c>
      <c r="H72" s="7">
        <f>+40000</f>
        <v>40000</v>
      </c>
      <c r="I72" s="7">
        <f>+50000</f>
        <v>50000</v>
      </c>
      <c r="J72" s="7"/>
      <c r="K72" s="7"/>
      <c r="L72" s="7"/>
      <c r="M72" s="7"/>
      <c r="N72" s="7"/>
    </row>
    <row r="73">
      <c r="A73" s="1" t="s">
        <v>68</v>
      </c>
      <c r="B73" s="1" t="s">
        <v>4</v>
      </c>
      <c r="C73" s="2" t="s">
        <v>77</v>
      </c>
      <c r="D73" s="7">
        <f t="shared" ref="D73:E73" si="82">+75000</f>
        <v>75000</v>
      </c>
      <c r="E73" s="7">
        <f t="shared" si="82"/>
        <v>75000</v>
      </c>
      <c r="F73" s="7">
        <f t="shared" ref="F73:H73" si="83">+50000</f>
        <v>50000</v>
      </c>
      <c r="G73" s="7">
        <f t="shared" si="83"/>
        <v>50000</v>
      </c>
      <c r="H73" s="7">
        <f t="shared" si="83"/>
        <v>50000</v>
      </c>
      <c r="I73" s="7"/>
      <c r="J73" s="7"/>
      <c r="K73" s="7"/>
      <c r="L73" s="7"/>
      <c r="M73" s="7"/>
      <c r="N73" s="7"/>
    </row>
    <row r="74">
      <c r="A74" s="1" t="s">
        <v>68</v>
      </c>
      <c r="B74" s="1" t="s">
        <v>4</v>
      </c>
      <c r="C74" s="2" t="s">
        <v>78</v>
      </c>
      <c r="D74" s="7">
        <f>+15000</f>
        <v>15000</v>
      </c>
      <c r="E74" s="7">
        <f>+25000</f>
        <v>25000</v>
      </c>
      <c r="F74" s="7">
        <f>+50000</f>
        <v>50000</v>
      </c>
      <c r="G74" s="7">
        <f t="shared" ref="G74:H74" si="84">+75000</f>
        <v>75000</v>
      </c>
      <c r="H74" s="7">
        <f t="shared" si="84"/>
        <v>75000</v>
      </c>
      <c r="I74" s="7"/>
      <c r="J74" s="7"/>
      <c r="K74" s="7"/>
      <c r="L74" s="7"/>
      <c r="M74" s="7"/>
      <c r="N74" s="7"/>
    </row>
    <row r="75">
      <c r="A75" s="1" t="s">
        <v>68</v>
      </c>
      <c r="B75" s="1" t="s">
        <v>4</v>
      </c>
      <c r="C75" s="2" t="s">
        <v>79</v>
      </c>
      <c r="D75" s="7">
        <f t="shared" ref="D75:E75" si="85">+50000</f>
        <v>50000</v>
      </c>
      <c r="E75" s="7">
        <f t="shared" si="85"/>
        <v>50000</v>
      </c>
      <c r="F75" s="7">
        <f t="shared" ref="F75:H75" si="86">+75000</f>
        <v>75000</v>
      </c>
      <c r="G75" s="7">
        <f t="shared" si="86"/>
        <v>75000</v>
      </c>
      <c r="H75" s="7">
        <f t="shared" si="86"/>
        <v>75000</v>
      </c>
      <c r="I75" s="7"/>
      <c r="J75" s="7"/>
      <c r="K75" s="7"/>
      <c r="L75" s="7"/>
      <c r="M75" s="7"/>
      <c r="N75" s="7"/>
    </row>
    <row r="76">
      <c r="A76" s="1" t="s">
        <v>68</v>
      </c>
      <c r="B76" s="1" t="s">
        <v>4</v>
      </c>
      <c r="C76" s="2" t="s">
        <v>80</v>
      </c>
      <c r="D76" s="7">
        <f t="shared" ref="D76:E76" si="87">+50000</f>
        <v>50000</v>
      </c>
      <c r="E76" s="7">
        <f t="shared" si="87"/>
        <v>50000</v>
      </c>
      <c r="F76" s="7">
        <f t="shared" ref="F76:F77" si="90">+75000</f>
        <v>75000</v>
      </c>
      <c r="G76" s="7">
        <f t="shared" ref="G76:H76" si="88">+100000</f>
        <v>100000</v>
      </c>
      <c r="H76" s="7">
        <f t="shared" si="88"/>
        <v>100000</v>
      </c>
      <c r="I76" s="7"/>
      <c r="J76" s="7"/>
      <c r="K76" s="7"/>
      <c r="L76" s="7"/>
      <c r="M76" s="7"/>
      <c r="N76" s="7"/>
    </row>
    <row r="77">
      <c r="A77" s="1" t="s">
        <v>68</v>
      </c>
      <c r="B77" s="1" t="s">
        <v>4</v>
      </c>
      <c r="C77" s="2" t="s">
        <v>81</v>
      </c>
      <c r="D77" s="7">
        <f t="shared" ref="D77:E77" si="89">+50000</f>
        <v>50000</v>
      </c>
      <c r="E77" s="7">
        <f t="shared" si="89"/>
        <v>50000</v>
      </c>
      <c r="F77" s="7">
        <f t="shared" si="90"/>
        <v>75000</v>
      </c>
      <c r="G77" s="7">
        <f t="shared" ref="G77:H77" si="91">+100000</f>
        <v>100000</v>
      </c>
      <c r="H77" s="7">
        <f t="shared" si="91"/>
        <v>100000</v>
      </c>
      <c r="I77" s="7"/>
      <c r="J77" s="7"/>
      <c r="K77" s="7"/>
      <c r="L77" s="7"/>
      <c r="M77" s="7"/>
      <c r="N77" s="7"/>
    </row>
    <row r="78">
      <c r="A78" s="1" t="s">
        <v>68</v>
      </c>
      <c r="B78" s="1" t="s">
        <v>4</v>
      </c>
      <c r="C78" s="2" t="s">
        <v>82</v>
      </c>
      <c r="D78" s="7">
        <f>+20000</f>
        <v>20000</v>
      </c>
      <c r="E78" s="7">
        <f>+25000</f>
        <v>25000</v>
      </c>
      <c r="F78" s="7">
        <f t="shared" ref="F78:H78" si="92">+100000</f>
        <v>100000</v>
      </c>
      <c r="G78" s="7">
        <f t="shared" si="92"/>
        <v>100000</v>
      </c>
      <c r="H78" s="7">
        <f t="shared" si="92"/>
        <v>100000</v>
      </c>
      <c r="I78" s="7"/>
      <c r="J78" s="7"/>
      <c r="K78" s="7"/>
      <c r="L78" s="7"/>
      <c r="M78" s="7"/>
      <c r="N78" s="7"/>
    </row>
    <row r="79">
      <c r="A79" s="1" t="s">
        <v>68</v>
      </c>
      <c r="B79" s="1" t="s">
        <v>4</v>
      </c>
      <c r="C79" s="2" t="s">
        <v>83</v>
      </c>
      <c r="D79" s="7">
        <f t="shared" ref="D79:E79" si="93">+25000</f>
        <v>25000</v>
      </c>
      <c r="E79" s="7">
        <f t="shared" si="93"/>
        <v>25000</v>
      </c>
      <c r="F79" s="7">
        <f t="shared" ref="F79:H79" si="94">+100000</f>
        <v>100000</v>
      </c>
      <c r="G79" s="7">
        <f t="shared" si="94"/>
        <v>100000</v>
      </c>
      <c r="H79" s="7">
        <f t="shared" si="94"/>
        <v>100000</v>
      </c>
      <c r="I79" s="7"/>
      <c r="J79" s="7"/>
      <c r="K79" s="7"/>
      <c r="L79" s="7"/>
      <c r="M79" s="7"/>
      <c r="N79" s="7"/>
    </row>
    <row r="80">
      <c r="A80" s="1" t="s">
        <v>68</v>
      </c>
      <c r="B80" s="1" t="s">
        <v>4</v>
      </c>
      <c r="C80" s="2" t="s">
        <v>84</v>
      </c>
      <c r="D80" s="7">
        <f t="shared" ref="D80:D81" si="96">+30000</f>
        <v>30000</v>
      </c>
      <c r="E80" s="7">
        <f t="shared" ref="E80:E81" si="97">+25000</f>
        <v>25000</v>
      </c>
      <c r="F80" s="7">
        <f t="shared" ref="F80:H80" si="95">+100000</f>
        <v>100000</v>
      </c>
      <c r="G80" s="7">
        <f t="shared" si="95"/>
        <v>100000</v>
      </c>
      <c r="H80" s="7">
        <f t="shared" si="95"/>
        <v>100000</v>
      </c>
      <c r="I80" s="7"/>
      <c r="J80" s="7"/>
      <c r="K80" s="7"/>
      <c r="L80" s="7"/>
      <c r="M80" s="7"/>
      <c r="N80" s="7"/>
    </row>
    <row r="81">
      <c r="A81" s="1" t="s">
        <v>68</v>
      </c>
      <c r="B81" s="1" t="s">
        <v>4</v>
      </c>
      <c r="C81" s="2" t="s">
        <v>85</v>
      </c>
      <c r="D81" s="7">
        <f t="shared" si="96"/>
        <v>30000</v>
      </c>
      <c r="E81" s="7">
        <f t="shared" si="97"/>
        <v>25000</v>
      </c>
      <c r="F81" s="7">
        <f t="shared" ref="F81:H81" si="98">+100000</f>
        <v>100000</v>
      </c>
      <c r="G81" s="7">
        <f t="shared" si="98"/>
        <v>100000</v>
      </c>
      <c r="H81" s="7">
        <f t="shared" si="98"/>
        <v>100000</v>
      </c>
      <c r="I81" s="7"/>
      <c r="J81" s="7"/>
      <c r="K81" s="7"/>
      <c r="L81" s="7"/>
      <c r="M81" s="7"/>
      <c r="N81" s="7"/>
    </row>
    <row r="82">
      <c r="A82" s="1" t="s">
        <v>68</v>
      </c>
      <c r="B82" s="1" t="s">
        <v>4</v>
      </c>
      <c r="C82" s="2" t="s">
        <v>86</v>
      </c>
      <c r="D82" s="7">
        <f t="shared" ref="D82:H82" si="99">+100000</f>
        <v>100000</v>
      </c>
      <c r="E82" s="7">
        <f t="shared" si="99"/>
        <v>100000</v>
      </c>
      <c r="F82" s="7">
        <f t="shared" si="99"/>
        <v>100000</v>
      </c>
      <c r="G82" s="7">
        <f t="shared" si="99"/>
        <v>100000</v>
      </c>
      <c r="H82" s="7">
        <f t="shared" si="99"/>
        <v>100000</v>
      </c>
      <c r="I82" s="7"/>
      <c r="J82" s="7"/>
      <c r="K82" s="7"/>
      <c r="L82" s="7"/>
      <c r="M82" s="7"/>
      <c r="N82" s="7"/>
    </row>
    <row r="83">
      <c r="A83" s="1" t="s">
        <v>68</v>
      </c>
      <c r="B83" s="1" t="s">
        <v>4</v>
      </c>
      <c r="C83" s="2" t="s">
        <v>87</v>
      </c>
      <c r="D83" s="7">
        <f t="shared" ref="D83:E83" si="100">+150000</f>
        <v>150000</v>
      </c>
      <c r="E83" s="7">
        <f t="shared" si="100"/>
        <v>150000</v>
      </c>
      <c r="F83" s="7">
        <f t="shared" ref="F83:H83" si="101">+200000</f>
        <v>200000</v>
      </c>
      <c r="G83" s="7">
        <f t="shared" si="101"/>
        <v>200000</v>
      </c>
      <c r="H83" s="7">
        <f t="shared" si="101"/>
        <v>200000</v>
      </c>
      <c r="I83" s="7"/>
      <c r="J83" s="7"/>
      <c r="K83" s="7"/>
      <c r="L83" s="7"/>
      <c r="M83" s="7"/>
      <c r="N83" s="7"/>
    </row>
    <row r="84">
      <c r="A84" s="1" t="s">
        <v>68</v>
      </c>
      <c r="B84" s="1" t="s">
        <v>4</v>
      </c>
      <c r="C84" s="2" t="s">
        <v>88</v>
      </c>
      <c r="D84" s="7">
        <f>+100000</f>
        <v>100000</v>
      </c>
      <c r="E84" s="7">
        <f>+50000</f>
        <v>50000</v>
      </c>
      <c r="F84" s="7">
        <f>+100000</f>
        <v>100000</v>
      </c>
      <c r="G84" s="7">
        <f t="shared" ref="G84:H84" si="102">+500000</f>
        <v>500000</v>
      </c>
      <c r="H84" s="7">
        <f t="shared" si="102"/>
        <v>500000</v>
      </c>
      <c r="I84" s="7"/>
    </row>
    <row r="85">
      <c r="C85" s="3" t="s">
        <v>2</v>
      </c>
      <c r="D85" s="4">
        <v>45809.0</v>
      </c>
      <c r="E85" s="4">
        <v>45882.0</v>
      </c>
      <c r="F85" s="4">
        <v>45931.0</v>
      </c>
      <c r="G85" s="4">
        <v>45962.0</v>
      </c>
      <c r="H85" s="4">
        <v>45992.0</v>
      </c>
      <c r="I85" s="4">
        <v>45658.0</v>
      </c>
      <c r="J85" s="4">
        <v>45689.0</v>
      </c>
      <c r="K85" s="4">
        <v>45717.0</v>
      </c>
      <c r="L85" s="4">
        <v>45748.0</v>
      </c>
      <c r="M85" s="5">
        <v>45778.0</v>
      </c>
      <c r="N85" s="6"/>
    </row>
    <row r="86">
      <c r="A86" s="1" t="s">
        <v>89</v>
      </c>
      <c r="B86" s="1" t="s">
        <v>4</v>
      </c>
      <c r="C86" s="2" t="s">
        <v>90</v>
      </c>
      <c r="D86" s="8">
        <v>-155.0</v>
      </c>
      <c r="E86" s="8">
        <v>-145.0</v>
      </c>
      <c r="F86" s="8">
        <v>-105.0</v>
      </c>
      <c r="G86" s="7">
        <f>+130</f>
        <v>130</v>
      </c>
      <c r="H86" s="8">
        <v>-145.0</v>
      </c>
      <c r="I86" s="8">
        <v>-1400.0</v>
      </c>
      <c r="J86" s="8">
        <v>-1000.0</v>
      </c>
      <c r="K86" s="8">
        <v>-400.0</v>
      </c>
      <c r="L86" s="8">
        <v>-200.0</v>
      </c>
      <c r="M86" s="8">
        <v>-225.0</v>
      </c>
      <c r="N86" s="8" t="s">
        <v>27</v>
      </c>
    </row>
    <row r="87">
      <c r="A87" s="1" t="s">
        <v>89</v>
      </c>
      <c r="B87" s="1" t="s">
        <v>4</v>
      </c>
      <c r="C87" s="2" t="s">
        <v>91</v>
      </c>
      <c r="D87" s="7">
        <f t="shared" ref="D87:E87" si="103">+500</f>
        <v>500</v>
      </c>
      <c r="E87" s="7">
        <f t="shared" si="103"/>
        <v>500</v>
      </c>
      <c r="F87" s="7">
        <f>+350</f>
        <v>350</v>
      </c>
      <c r="G87" s="7">
        <f>+260</f>
        <v>260</v>
      </c>
      <c r="H87" s="7">
        <f>+350</f>
        <v>350</v>
      </c>
      <c r="I87" s="7">
        <f>+1000</f>
        <v>1000</v>
      </c>
      <c r="J87" s="7">
        <f>+600</f>
        <v>600</v>
      </c>
      <c r="K87" s="7">
        <f>+300</f>
        <v>300</v>
      </c>
      <c r="L87" s="7">
        <f>+160</f>
        <v>160</v>
      </c>
      <c r="M87" s="7">
        <f>+170</f>
        <v>170</v>
      </c>
      <c r="N87" s="7"/>
    </row>
    <row r="88">
      <c r="A88" s="1" t="s">
        <v>89</v>
      </c>
      <c r="B88" s="1" t="s">
        <v>4</v>
      </c>
      <c r="C88" s="2" t="s">
        <v>92</v>
      </c>
      <c r="D88" s="7">
        <f>+500</f>
        <v>500</v>
      </c>
      <c r="E88" s="7">
        <f>+450</f>
        <v>450</v>
      </c>
      <c r="F88" s="7">
        <f>+275</f>
        <v>275</v>
      </c>
      <c r="G88" s="7">
        <f>+185</f>
        <v>185</v>
      </c>
      <c r="H88" s="7">
        <f>+275</f>
        <v>275</v>
      </c>
      <c r="I88" s="7">
        <f>+2500</f>
        <v>2500</v>
      </c>
      <c r="J88" s="7">
        <f>+6600</f>
        <v>6600</v>
      </c>
      <c r="K88" s="7">
        <f>+12500</f>
        <v>12500</v>
      </c>
      <c r="L88" s="7">
        <f>+15000</f>
        <v>15000</v>
      </c>
      <c r="M88" s="7"/>
      <c r="N88" s="7"/>
    </row>
    <row r="89">
      <c r="A89" s="1" t="s">
        <v>89</v>
      </c>
      <c r="B89" s="1" t="s">
        <v>4</v>
      </c>
      <c r="C89" s="2" t="s">
        <v>93</v>
      </c>
      <c r="D89" s="7">
        <f>+700</f>
        <v>700</v>
      </c>
      <c r="E89" s="7">
        <f>+800</f>
        <v>800</v>
      </c>
      <c r="F89" s="7">
        <f>+1000</f>
        <v>1000</v>
      </c>
      <c r="G89" s="7">
        <f>+3300</f>
        <v>3300</v>
      </c>
      <c r="H89" s="7">
        <f>+10000</f>
        <v>10000</v>
      </c>
      <c r="I89" s="7">
        <f t="shared" ref="I89:I91" si="104">+25000</f>
        <v>25000</v>
      </c>
      <c r="J89" s="7">
        <f>+50000</f>
        <v>50000</v>
      </c>
      <c r="K89" s="7"/>
      <c r="L89" s="7"/>
      <c r="M89" s="7"/>
      <c r="N89" s="7"/>
    </row>
    <row r="90">
      <c r="A90" s="1" t="s">
        <v>89</v>
      </c>
      <c r="B90" s="1" t="s">
        <v>4</v>
      </c>
      <c r="C90" s="2" t="s">
        <v>94</v>
      </c>
      <c r="D90" s="7">
        <f>+6600</f>
        <v>6600</v>
      </c>
      <c r="E90" s="7">
        <f>+5000</f>
        <v>5000</v>
      </c>
      <c r="F90" s="7">
        <f>+10000</f>
        <v>10000</v>
      </c>
      <c r="G90" s="7">
        <f>+8000</f>
        <v>8000</v>
      </c>
      <c r="H90" s="7">
        <f>+15000</f>
        <v>15000</v>
      </c>
      <c r="I90" s="7">
        <f t="shared" si="104"/>
        <v>25000</v>
      </c>
      <c r="J90" s="7"/>
      <c r="K90" s="7"/>
      <c r="L90" s="7"/>
      <c r="M90" s="7"/>
      <c r="N90" s="7"/>
    </row>
    <row r="91">
      <c r="A91" s="1" t="s">
        <v>89</v>
      </c>
      <c r="B91" s="1" t="s">
        <v>4</v>
      </c>
      <c r="C91" s="2" t="s">
        <v>95</v>
      </c>
      <c r="D91" s="7">
        <f t="shared" ref="D91:E91" si="105">+4000</f>
        <v>4000</v>
      </c>
      <c r="E91" s="7">
        <f t="shared" si="105"/>
        <v>4000</v>
      </c>
      <c r="F91" s="7">
        <f t="shared" ref="F91:F92" si="108">+20000</f>
        <v>20000</v>
      </c>
      <c r="G91" s="7">
        <f t="shared" ref="G91:H91" si="106">+15000</f>
        <v>15000</v>
      </c>
      <c r="H91" s="7">
        <f t="shared" si="106"/>
        <v>15000</v>
      </c>
      <c r="I91" s="7">
        <f t="shared" si="104"/>
        <v>25000</v>
      </c>
      <c r="J91" s="7"/>
      <c r="K91" s="7"/>
      <c r="L91" s="7"/>
      <c r="M91" s="7"/>
      <c r="N91" s="7"/>
    </row>
    <row r="92">
      <c r="A92" s="1" t="s">
        <v>89</v>
      </c>
      <c r="B92" s="1" t="s">
        <v>4</v>
      </c>
      <c r="C92" s="2" t="s">
        <v>96</v>
      </c>
      <c r="D92" s="7">
        <f t="shared" ref="D92:E92" si="107">+15000</f>
        <v>15000</v>
      </c>
      <c r="E92" s="7">
        <f t="shared" si="107"/>
        <v>15000</v>
      </c>
      <c r="F92" s="7">
        <f t="shared" si="108"/>
        <v>20000</v>
      </c>
      <c r="G92" s="7">
        <f>+10000</f>
        <v>10000</v>
      </c>
      <c r="H92" s="7">
        <f>+15000</f>
        <v>15000</v>
      </c>
      <c r="I92" s="7">
        <f>+75000</f>
        <v>75000</v>
      </c>
      <c r="J92" s="7"/>
      <c r="K92" s="7"/>
      <c r="L92" s="7"/>
      <c r="M92" s="7"/>
      <c r="N92" s="7"/>
    </row>
    <row r="93">
      <c r="A93" s="1" t="s">
        <v>89</v>
      </c>
      <c r="B93" s="1" t="s">
        <v>4</v>
      </c>
      <c r="C93" s="2" t="s">
        <v>97</v>
      </c>
      <c r="D93" s="7">
        <f t="shared" ref="D93:E93" si="109">+4000</f>
        <v>4000</v>
      </c>
      <c r="E93" s="7">
        <f t="shared" si="109"/>
        <v>4000</v>
      </c>
      <c r="F93" s="7">
        <f>+25000</f>
        <v>25000</v>
      </c>
      <c r="G93" s="7">
        <f t="shared" ref="G93:G94" si="110">+30000</f>
        <v>30000</v>
      </c>
      <c r="H93" s="7">
        <f>+50000</f>
        <v>50000</v>
      </c>
      <c r="I93" s="7">
        <f t="shared" ref="I93:I95" si="111">+100000</f>
        <v>100000</v>
      </c>
      <c r="J93" s="7"/>
      <c r="K93" s="7"/>
      <c r="L93" s="7"/>
      <c r="M93" s="7"/>
      <c r="N93" s="7"/>
    </row>
    <row r="94">
      <c r="A94" s="1" t="s">
        <v>89</v>
      </c>
      <c r="B94" s="1" t="s">
        <v>4</v>
      </c>
      <c r="C94" s="2" t="s">
        <v>98</v>
      </c>
      <c r="D94" s="7">
        <f t="shared" ref="D94:D95" si="112">+20000</f>
        <v>20000</v>
      </c>
      <c r="E94" s="7">
        <f t="shared" ref="E94:E95" si="113">+25000</f>
        <v>25000</v>
      </c>
      <c r="F94" s="7">
        <f>+50000</f>
        <v>50000</v>
      </c>
      <c r="G94" s="7">
        <f t="shared" si="110"/>
        <v>30000</v>
      </c>
      <c r="H94" s="7">
        <f t="shared" ref="H94:H96" si="114">+75000</f>
        <v>75000</v>
      </c>
      <c r="I94" s="7">
        <f t="shared" si="111"/>
        <v>100000</v>
      </c>
      <c r="J94" s="7"/>
      <c r="K94" s="7"/>
      <c r="L94" s="7"/>
      <c r="M94" s="7"/>
      <c r="N94" s="7"/>
    </row>
    <row r="95">
      <c r="A95" s="1" t="s">
        <v>89</v>
      </c>
      <c r="B95" s="1" t="s">
        <v>4</v>
      </c>
      <c r="C95" s="2" t="s">
        <v>99</v>
      </c>
      <c r="D95" s="7">
        <f t="shared" si="112"/>
        <v>20000</v>
      </c>
      <c r="E95" s="7">
        <f t="shared" si="113"/>
        <v>25000</v>
      </c>
      <c r="F95" s="7">
        <f>+25000</f>
        <v>25000</v>
      </c>
      <c r="G95" s="7">
        <f>+35000</f>
        <v>35000</v>
      </c>
      <c r="H95" s="7">
        <f t="shared" si="114"/>
        <v>75000</v>
      </c>
      <c r="I95" s="7">
        <f t="shared" si="111"/>
        <v>100000</v>
      </c>
      <c r="J95" s="7"/>
      <c r="K95" s="7"/>
      <c r="L95" s="7"/>
      <c r="M95" s="7"/>
      <c r="N95" s="7"/>
    </row>
    <row r="96">
      <c r="A96" s="1" t="s">
        <v>89</v>
      </c>
      <c r="B96" s="1" t="s">
        <v>4</v>
      </c>
      <c r="C96" s="2" t="s">
        <v>100</v>
      </c>
      <c r="D96" s="7">
        <f t="shared" ref="D96:E96" si="115">+10000</f>
        <v>10000</v>
      </c>
      <c r="E96" s="7">
        <f t="shared" si="115"/>
        <v>10000</v>
      </c>
      <c r="F96" s="7">
        <f>+20000</f>
        <v>20000</v>
      </c>
      <c r="G96" s="7">
        <f>+30000</f>
        <v>30000</v>
      </c>
      <c r="H96" s="7">
        <f t="shared" si="114"/>
        <v>75000</v>
      </c>
      <c r="I96" s="7">
        <f t="shared" ref="I96:I97" si="117">+150000</f>
        <v>150000</v>
      </c>
      <c r="J96" s="7"/>
      <c r="K96" s="7"/>
      <c r="L96" s="7"/>
      <c r="M96" s="7"/>
      <c r="N96" s="7"/>
    </row>
    <row r="97">
      <c r="A97" s="1" t="s">
        <v>89</v>
      </c>
      <c r="B97" s="1" t="s">
        <v>4</v>
      </c>
      <c r="C97" s="2" t="s">
        <v>101</v>
      </c>
      <c r="D97" s="7">
        <f t="shared" ref="D97:E97" si="116">+50000</f>
        <v>50000</v>
      </c>
      <c r="E97" s="7">
        <f t="shared" si="116"/>
        <v>50000</v>
      </c>
      <c r="F97" s="7">
        <f>+100000</f>
        <v>100000</v>
      </c>
      <c r="G97" s="7">
        <f>+150000</f>
        <v>150000</v>
      </c>
      <c r="H97" s="7">
        <f>+100000</f>
        <v>100000</v>
      </c>
      <c r="I97" s="7">
        <f t="shared" si="117"/>
        <v>150000</v>
      </c>
      <c r="J97" s="7"/>
      <c r="K97" s="7"/>
      <c r="L97" s="7"/>
      <c r="M97" s="7"/>
      <c r="N97" s="7"/>
    </row>
    <row r="98">
      <c r="A98" s="1" t="s">
        <v>89</v>
      </c>
      <c r="B98" s="1" t="s">
        <v>4</v>
      </c>
      <c r="C98" s="2" t="s">
        <v>102</v>
      </c>
      <c r="D98" s="7">
        <f t="shared" ref="D98:E98" si="118">+20000</f>
        <v>20000</v>
      </c>
      <c r="E98" s="7">
        <f t="shared" si="118"/>
        <v>20000</v>
      </c>
      <c r="F98" s="7">
        <f>+30000</f>
        <v>30000</v>
      </c>
      <c r="G98" s="7">
        <f t="shared" ref="G98:G99" si="121">+75000</f>
        <v>75000</v>
      </c>
      <c r="H98" s="7">
        <f t="shared" ref="H98:I98" si="119">+150000</f>
        <v>150000</v>
      </c>
      <c r="I98" s="7">
        <f t="shared" si="119"/>
        <v>150000</v>
      </c>
      <c r="J98" s="7"/>
      <c r="K98" s="7"/>
      <c r="L98" s="7"/>
      <c r="M98" s="7"/>
      <c r="N98" s="7"/>
    </row>
    <row r="99">
      <c r="A99" s="1" t="s">
        <v>89</v>
      </c>
      <c r="B99" s="1" t="s">
        <v>4</v>
      </c>
      <c r="C99" s="2" t="s">
        <v>103</v>
      </c>
      <c r="D99" s="7">
        <f>+75000</f>
        <v>75000</v>
      </c>
      <c r="E99" s="7">
        <f t="shared" ref="E99:F99" si="120">+50000</f>
        <v>50000</v>
      </c>
      <c r="F99" s="7">
        <f t="shared" si="120"/>
        <v>50000</v>
      </c>
      <c r="G99" s="7">
        <f t="shared" si="121"/>
        <v>75000</v>
      </c>
      <c r="H99" s="7">
        <f t="shared" ref="H99:I99" si="122">+150000</f>
        <v>150000</v>
      </c>
      <c r="I99" s="7">
        <f t="shared" si="122"/>
        <v>150000</v>
      </c>
      <c r="J99" s="7"/>
      <c r="K99" s="7"/>
      <c r="L99" s="7"/>
      <c r="M99" s="7"/>
      <c r="N99" s="7"/>
    </row>
    <row r="100">
      <c r="A100" s="1" t="s">
        <v>89</v>
      </c>
      <c r="B100" s="1" t="s">
        <v>4</v>
      </c>
      <c r="C100" s="2" t="s">
        <v>104</v>
      </c>
      <c r="D100" s="7">
        <f>+25000</f>
        <v>25000</v>
      </c>
      <c r="E100" s="7">
        <f>+35000</f>
        <v>35000</v>
      </c>
      <c r="F100" s="7">
        <f t="shared" ref="F100:F101" si="124">+75000</f>
        <v>75000</v>
      </c>
      <c r="G100" s="7">
        <f t="shared" ref="G100:G101" si="125">+100000</f>
        <v>100000</v>
      </c>
      <c r="H100" s="7">
        <f t="shared" ref="H100:I100" si="123">+150000</f>
        <v>150000</v>
      </c>
      <c r="I100" s="7">
        <f t="shared" si="123"/>
        <v>150000</v>
      </c>
      <c r="J100" s="7"/>
      <c r="K100" s="7"/>
      <c r="L100" s="7"/>
      <c r="M100" s="7"/>
      <c r="N100" s="7"/>
    </row>
    <row r="101">
      <c r="A101" s="1" t="s">
        <v>89</v>
      </c>
      <c r="B101" s="1" t="s">
        <v>4</v>
      </c>
      <c r="C101" s="2" t="s">
        <v>105</v>
      </c>
      <c r="D101" s="7">
        <f>+15000</f>
        <v>15000</v>
      </c>
      <c r="E101" s="7">
        <f>+12500</f>
        <v>12500</v>
      </c>
      <c r="F101" s="7">
        <f t="shared" si="124"/>
        <v>75000</v>
      </c>
      <c r="G101" s="7">
        <f t="shared" si="125"/>
        <v>100000</v>
      </c>
      <c r="H101" s="7">
        <f t="shared" ref="H101:H102" si="127">+150000</f>
        <v>150000</v>
      </c>
      <c r="I101" s="7">
        <f t="shared" ref="I101:I103" si="128">+250000</f>
        <v>250000</v>
      </c>
      <c r="J101" s="7"/>
      <c r="K101" s="7"/>
      <c r="L101" s="7"/>
      <c r="M101" s="7"/>
      <c r="N101" s="7"/>
    </row>
    <row r="102">
      <c r="A102" s="1" t="s">
        <v>89</v>
      </c>
      <c r="B102" s="1" t="s">
        <v>4</v>
      </c>
      <c r="C102" s="2" t="s">
        <v>106</v>
      </c>
      <c r="D102" s="7">
        <f>+20000</f>
        <v>20000</v>
      </c>
      <c r="E102" s="7">
        <f>+25000</f>
        <v>25000</v>
      </c>
      <c r="F102" s="7">
        <f t="shared" ref="F102:G102" si="126">+100000</f>
        <v>100000</v>
      </c>
      <c r="G102" s="7">
        <f t="shared" si="126"/>
        <v>100000</v>
      </c>
      <c r="H102" s="7">
        <f t="shared" si="127"/>
        <v>150000</v>
      </c>
      <c r="I102" s="7">
        <f t="shared" si="128"/>
        <v>250000</v>
      </c>
      <c r="J102" s="7"/>
      <c r="K102" s="7"/>
      <c r="L102" s="7"/>
      <c r="M102" s="7"/>
      <c r="N102" s="7"/>
    </row>
    <row r="103">
      <c r="A103" s="1" t="s">
        <v>89</v>
      </c>
      <c r="B103" s="1" t="s">
        <v>4</v>
      </c>
      <c r="C103" s="2" t="s">
        <v>107</v>
      </c>
      <c r="D103" s="7">
        <f t="shared" ref="D103:E103" si="129">+50000</f>
        <v>50000</v>
      </c>
      <c r="E103" s="7">
        <f t="shared" si="129"/>
        <v>50000</v>
      </c>
      <c r="F103" s="7">
        <f t="shared" ref="F103:G103" si="130">+150000</f>
        <v>150000</v>
      </c>
      <c r="G103" s="7">
        <f t="shared" si="130"/>
        <v>150000</v>
      </c>
      <c r="H103" s="7">
        <f>+200000</f>
        <v>200000</v>
      </c>
      <c r="I103" s="7">
        <f t="shared" si="128"/>
        <v>250000</v>
      </c>
      <c r="J103" s="7"/>
      <c r="K103" s="7"/>
      <c r="L103" s="7"/>
      <c r="M103" s="7"/>
      <c r="N103" s="7"/>
    </row>
    <row r="104">
      <c r="A104" s="1" t="s">
        <v>89</v>
      </c>
      <c r="B104" s="1" t="s">
        <v>4</v>
      </c>
      <c r="C104" s="2" t="s">
        <v>108</v>
      </c>
      <c r="D104" s="7">
        <f t="shared" ref="D104:F104" si="131">+100000</f>
        <v>100000</v>
      </c>
      <c r="E104" s="7">
        <f t="shared" si="131"/>
        <v>100000</v>
      </c>
      <c r="F104" s="7">
        <f t="shared" si="131"/>
        <v>100000</v>
      </c>
      <c r="G104" s="7">
        <f t="shared" ref="G104:I104" si="132">+250000</f>
        <v>250000</v>
      </c>
      <c r="H104" s="7">
        <f t="shared" si="132"/>
        <v>250000</v>
      </c>
      <c r="I104" s="7">
        <f t="shared" si="132"/>
        <v>250000</v>
      </c>
      <c r="J104" s="7"/>
      <c r="K104" s="7"/>
      <c r="L104" s="7"/>
      <c r="M104" s="7"/>
      <c r="N104" s="7"/>
    </row>
    <row r="105">
      <c r="A105" s="1" t="s">
        <v>89</v>
      </c>
      <c r="B105" s="1" t="s">
        <v>4</v>
      </c>
      <c r="C105" s="2" t="s">
        <v>109</v>
      </c>
      <c r="D105" s="7">
        <f t="shared" ref="D105:E105" si="133">+100000</f>
        <v>100000</v>
      </c>
      <c r="E105" s="7">
        <f t="shared" si="133"/>
        <v>100000</v>
      </c>
      <c r="F105" s="7">
        <f>+250000</f>
        <v>250000</v>
      </c>
      <c r="G105" s="7">
        <f t="shared" ref="G105:H105" si="134">+400000</f>
        <v>400000</v>
      </c>
      <c r="H105" s="7">
        <f t="shared" si="134"/>
        <v>400000</v>
      </c>
      <c r="I105" s="7">
        <f>+450000</f>
        <v>450000</v>
      </c>
      <c r="J105" s="7"/>
    </row>
    <row r="106">
      <c r="C106" s="3" t="s">
        <v>2</v>
      </c>
      <c r="D106" s="4">
        <v>45911.0</v>
      </c>
      <c r="E106" s="4">
        <v>45931.0</v>
      </c>
      <c r="F106" s="4">
        <v>45962.0</v>
      </c>
      <c r="G106" s="4">
        <v>45992.0</v>
      </c>
      <c r="H106" s="4">
        <v>45658.0</v>
      </c>
      <c r="I106" s="4">
        <v>45689.0</v>
      </c>
      <c r="J106" s="4">
        <v>45717.0</v>
      </c>
      <c r="K106" s="4">
        <v>45748.0</v>
      </c>
      <c r="L106" s="5">
        <v>45778.0</v>
      </c>
      <c r="M106" s="6"/>
    </row>
    <row r="107">
      <c r="A107" s="1" t="s">
        <v>110</v>
      </c>
      <c r="B107" s="1" t="s">
        <v>4</v>
      </c>
      <c r="C107" s="2" t="s">
        <v>111</v>
      </c>
      <c r="D107" s="8">
        <v>-143.0</v>
      </c>
      <c r="E107" s="7">
        <f>+150</f>
        <v>150</v>
      </c>
      <c r="F107" s="7">
        <f>+130</f>
        <v>130</v>
      </c>
      <c r="G107" s="7"/>
      <c r="H107" s="7">
        <f>+160</f>
        <v>160</v>
      </c>
      <c r="I107" s="8">
        <v>-400.0</v>
      </c>
      <c r="J107" s="8">
        <v>-10000.0</v>
      </c>
      <c r="K107" s="7"/>
      <c r="L107" s="7"/>
      <c r="M107" s="8" t="s">
        <v>27</v>
      </c>
    </row>
    <row r="108">
      <c r="A108" s="1" t="s">
        <v>110</v>
      </c>
      <c r="B108" s="1" t="s">
        <v>4</v>
      </c>
      <c r="C108" s="2" t="s">
        <v>112</v>
      </c>
      <c r="D108" s="7">
        <f>+1400</f>
        <v>1400</v>
      </c>
      <c r="E108" s="7">
        <f t="shared" ref="E108:E109" si="135">+3300</f>
        <v>3300</v>
      </c>
      <c r="F108" s="7">
        <f>+2500</f>
        <v>2500</v>
      </c>
      <c r="G108" s="7"/>
      <c r="H108" s="7">
        <f>+700</f>
        <v>700</v>
      </c>
      <c r="I108" s="7">
        <f>+1600</f>
        <v>1600</v>
      </c>
      <c r="J108" s="7">
        <f>+6600</f>
        <v>6600</v>
      </c>
      <c r="K108" s="7"/>
      <c r="L108" s="7"/>
      <c r="M108" s="7"/>
    </row>
    <row r="109">
      <c r="A109" s="1" t="s">
        <v>110</v>
      </c>
      <c r="B109" s="1" t="s">
        <v>4</v>
      </c>
      <c r="C109" s="2" t="s">
        <v>113</v>
      </c>
      <c r="D109" s="7">
        <f>+12500</f>
        <v>12500</v>
      </c>
      <c r="E109" s="7">
        <f t="shared" si="135"/>
        <v>3300</v>
      </c>
      <c r="F109" s="7">
        <f>+5000</f>
        <v>5000</v>
      </c>
      <c r="G109" s="7"/>
      <c r="H109" s="7">
        <f>+4000</f>
        <v>4000</v>
      </c>
      <c r="I109" s="7">
        <f>+2500</f>
        <v>2500</v>
      </c>
      <c r="J109" s="7">
        <f>+12500</f>
        <v>12500</v>
      </c>
      <c r="K109" s="7"/>
      <c r="L109" s="7"/>
      <c r="M109" s="7"/>
    </row>
    <row r="110">
      <c r="A110" s="1" t="s">
        <v>110</v>
      </c>
      <c r="B110" s="1" t="s">
        <v>4</v>
      </c>
      <c r="C110" s="2" t="s">
        <v>114</v>
      </c>
      <c r="D110" s="7">
        <f>+210</f>
        <v>210</v>
      </c>
      <c r="E110" s="8">
        <v>-118.0</v>
      </c>
      <c r="F110" s="7">
        <f>+175</f>
        <v>175</v>
      </c>
      <c r="G110" s="7"/>
      <c r="H110" s="7">
        <f>+135</f>
        <v>135</v>
      </c>
      <c r="I110" s="7">
        <f>+550</f>
        <v>550</v>
      </c>
      <c r="J110" s="7">
        <f>+25000</f>
        <v>25000</v>
      </c>
      <c r="K110" s="7"/>
      <c r="L110" s="7"/>
      <c r="M110" s="7"/>
    </row>
    <row r="111">
      <c r="A111" s="1" t="s">
        <v>110</v>
      </c>
      <c r="B111" s="1" t="s">
        <v>4</v>
      </c>
      <c r="C111" s="2" t="s">
        <v>115</v>
      </c>
      <c r="D111" s="7">
        <f>+1000</f>
        <v>1000</v>
      </c>
      <c r="E111" s="7">
        <f>+2000</f>
        <v>2000</v>
      </c>
      <c r="F111" s="7">
        <f>+1600</f>
        <v>1600</v>
      </c>
      <c r="G111" s="7"/>
      <c r="H111" s="7">
        <f>+2500</f>
        <v>2500</v>
      </c>
      <c r="I111" s="7">
        <f>+15000</f>
        <v>15000</v>
      </c>
      <c r="J111" s="7">
        <f>+30000</f>
        <v>30000</v>
      </c>
      <c r="K111" s="7"/>
      <c r="L111" s="7"/>
      <c r="M111" s="7"/>
    </row>
    <row r="112">
      <c r="A112" s="1" t="s">
        <v>110</v>
      </c>
      <c r="B112" s="1" t="s">
        <v>4</v>
      </c>
      <c r="C112" s="2" t="s">
        <v>116</v>
      </c>
      <c r="D112" s="7">
        <f t="shared" ref="D112:E112" si="136">+50000</f>
        <v>50000</v>
      </c>
      <c r="E112" s="7">
        <f t="shared" si="136"/>
        <v>50000</v>
      </c>
      <c r="F112" s="7">
        <f>+25000</f>
        <v>25000</v>
      </c>
      <c r="G112" s="7"/>
      <c r="H112" s="7">
        <f>+50000</f>
        <v>50000</v>
      </c>
      <c r="I112" s="7"/>
      <c r="J112" s="7">
        <f>+50000</f>
        <v>50000</v>
      </c>
      <c r="K112" s="7"/>
      <c r="L112" s="7"/>
      <c r="M112" s="7"/>
    </row>
    <row r="113">
      <c r="A113" s="1" t="s">
        <v>110</v>
      </c>
      <c r="B113" s="1" t="s">
        <v>4</v>
      </c>
      <c r="C113" s="2" t="s">
        <v>117</v>
      </c>
      <c r="D113" s="7">
        <f t="shared" ref="D113:E113" si="137">+5000</f>
        <v>5000</v>
      </c>
      <c r="E113" s="7">
        <f t="shared" si="137"/>
        <v>5000</v>
      </c>
      <c r="F113" s="7">
        <f>+700</f>
        <v>700</v>
      </c>
      <c r="G113" s="7"/>
      <c r="H113" s="7">
        <f>+1200</f>
        <v>1200</v>
      </c>
      <c r="I113" s="7">
        <f>+3300</f>
        <v>3300</v>
      </c>
      <c r="J113" s="7"/>
      <c r="K113" s="7"/>
      <c r="L113" s="7"/>
      <c r="M113" s="7"/>
    </row>
    <row r="114">
      <c r="A114" s="1" t="s">
        <v>110</v>
      </c>
      <c r="B114" s="1" t="s">
        <v>4</v>
      </c>
      <c r="C114" s="2" t="s">
        <v>118</v>
      </c>
      <c r="D114" s="7">
        <f>+20000</f>
        <v>20000</v>
      </c>
      <c r="E114" s="7">
        <f>+5000</f>
        <v>5000</v>
      </c>
      <c r="F114" s="7">
        <f>+3300</f>
        <v>3300</v>
      </c>
      <c r="G114" s="7"/>
      <c r="H114" s="7">
        <f>+4000</f>
        <v>4000</v>
      </c>
      <c r="I114" s="7">
        <f t="shared" ref="I114:I115" si="138">+20000</f>
        <v>20000</v>
      </c>
      <c r="J114" s="7"/>
      <c r="K114" s="7"/>
      <c r="L114" s="7"/>
      <c r="M114" s="7"/>
    </row>
    <row r="115">
      <c r="A115" s="1" t="s">
        <v>110</v>
      </c>
      <c r="B115" s="1" t="s">
        <v>4</v>
      </c>
      <c r="C115" s="2" t="s">
        <v>119</v>
      </c>
      <c r="D115" s="7">
        <f>+50000</f>
        <v>50000</v>
      </c>
      <c r="E115" s="7">
        <f>+75000</f>
        <v>75000</v>
      </c>
      <c r="F115" s="7">
        <f>+12500</f>
        <v>12500</v>
      </c>
      <c r="G115" s="7"/>
      <c r="H115" s="7">
        <f>+8000</f>
        <v>8000</v>
      </c>
      <c r="I115" s="7">
        <f t="shared" si="138"/>
        <v>20000</v>
      </c>
      <c r="J115" s="7"/>
      <c r="K115" s="7"/>
      <c r="L115" s="7"/>
      <c r="M115" s="7"/>
    </row>
    <row r="116">
      <c r="A116" s="1" t="s">
        <v>110</v>
      </c>
      <c r="B116" s="1" t="s">
        <v>4</v>
      </c>
      <c r="C116" s="2" t="s">
        <v>120</v>
      </c>
      <c r="D116" s="7">
        <f>+4000</f>
        <v>4000</v>
      </c>
      <c r="E116" s="7">
        <f t="shared" ref="E116:F116" si="139">+3300</f>
        <v>3300</v>
      </c>
      <c r="F116" s="7">
        <f t="shared" si="139"/>
        <v>3300</v>
      </c>
      <c r="G116" s="7"/>
      <c r="H116" s="7">
        <f>+10000</f>
        <v>10000</v>
      </c>
      <c r="I116" s="7">
        <f>+25000</f>
        <v>25000</v>
      </c>
      <c r="J116" s="7"/>
      <c r="K116" s="7"/>
      <c r="L116" s="7"/>
      <c r="M116" s="7"/>
    </row>
    <row r="117">
      <c r="A117" s="1" t="s">
        <v>110</v>
      </c>
      <c r="B117" s="1" t="s">
        <v>4</v>
      </c>
      <c r="C117" s="2" t="s">
        <v>121</v>
      </c>
      <c r="D117" s="7">
        <f>+15000</f>
        <v>15000</v>
      </c>
      <c r="E117" s="7">
        <f>+12500</f>
        <v>12500</v>
      </c>
      <c r="F117" s="7">
        <f>+5000</f>
        <v>5000</v>
      </c>
      <c r="G117" s="7"/>
      <c r="H117" s="7">
        <f t="shared" ref="H117:H118" si="141">+25000</f>
        <v>25000</v>
      </c>
      <c r="I117" s="7"/>
      <c r="J117" s="7"/>
      <c r="K117" s="7"/>
      <c r="L117" s="7"/>
      <c r="M117" s="7"/>
    </row>
    <row r="118">
      <c r="A118" s="1" t="s">
        <v>110</v>
      </c>
      <c r="B118" s="1" t="s">
        <v>4</v>
      </c>
      <c r="C118" s="2" t="s">
        <v>122</v>
      </c>
      <c r="D118" s="7">
        <f t="shared" ref="D118:E118" si="140">+50000</f>
        <v>50000</v>
      </c>
      <c r="E118" s="7">
        <f t="shared" si="140"/>
        <v>50000</v>
      </c>
      <c r="F118" s="7">
        <f>+25000</f>
        <v>25000</v>
      </c>
      <c r="G118" s="7"/>
      <c r="H118" s="7">
        <f t="shared" si="141"/>
        <v>25000</v>
      </c>
      <c r="I118" s="7"/>
      <c r="J118" s="7"/>
      <c r="K118" s="7"/>
      <c r="L118" s="7"/>
      <c r="M118" s="7"/>
    </row>
    <row r="119">
      <c r="A119" s="1" t="s">
        <v>110</v>
      </c>
      <c r="B119" s="1" t="s">
        <v>4</v>
      </c>
      <c r="C119" s="2" t="s">
        <v>123</v>
      </c>
      <c r="D119" s="7">
        <f>+12500</f>
        <v>12500</v>
      </c>
      <c r="E119" s="7">
        <f>+20000</f>
        <v>20000</v>
      </c>
      <c r="F119" s="7">
        <f>+15000</f>
        <v>15000</v>
      </c>
      <c r="G119" s="7"/>
      <c r="H119" s="7">
        <f>+50000</f>
        <v>50000</v>
      </c>
      <c r="I119" s="7"/>
      <c r="J119" s="7"/>
      <c r="K119" s="7"/>
      <c r="L119" s="7"/>
      <c r="M119" s="7"/>
    </row>
    <row r="120">
      <c r="A120" s="1" t="s">
        <v>110</v>
      </c>
      <c r="B120" s="1" t="s">
        <v>4</v>
      </c>
      <c r="C120" s="2" t="s">
        <v>124</v>
      </c>
      <c r="D120" s="7">
        <f>+50000</f>
        <v>50000</v>
      </c>
      <c r="E120" s="7">
        <f t="shared" ref="E120:E123" si="142">+75000</f>
        <v>75000</v>
      </c>
      <c r="F120" s="7">
        <f>+50000</f>
        <v>50000</v>
      </c>
      <c r="G120" s="7"/>
      <c r="H120" s="7">
        <f t="shared" ref="H120:H121" si="143">+150000</f>
        <v>150000</v>
      </c>
      <c r="I120" s="7"/>
      <c r="J120" s="7"/>
      <c r="K120" s="7"/>
      <c r="L120" s="7"/>
      <c r="M120" s="7"/>
    </row>
    <row r="121">
      <c r="A121" s="1" t="s">
        <v>110</v>
      </c>
      <c r="B121" s="1" t="s">
        <v>4</v>
      </c>
      <c r="C121" s="2" t="s">
        <v>125</v>
      </c>
      <c r="D121" s="7">
        <f>+25000</f>
        <v>25000</v>
      </c>
      <c r="E121" s="7">
        <f t="shared" si="142"/>
        <v>75000</v>
      </c>
      <c r="F121" s="7">
        <f t="shared" ref="F121:F122" si="144">+75000</f>
        <v>75000</v>
      </c>
      <c r="G121" s="7"/>
      <c r="H121" s="7">
        <f t="shared" si="143"/>
        <v>150000</v>
      </c>
      <c r="I121" s="7"/>
      <c r="J121" s="7"/>
      <c r="K121" s="7"/>
      <c r="L121" s="7"/>
      <c r="M121" s="7"/>
    </row>
    <row r="122">
      <c r="A122" s="1" t="s">
        <v>110</v>
      </c>
      <c r="B122" s="1" t="s">
        <v>4</v>
      </c>
      <c r="C122" s="2" t="s">
        <v>126</v>
      </c>
      <c r="D122" s="7">
        <f t="shared" ref="D122:D123" si="145">+50000</f>
        <v>50000</v>
      </c>
      <c r="E122" s="7">
        <f t="shared" si="142"/>
        <v>75000</v>
      </c>
      <c r="F122" s="7">
        <f t="shared" si="144"/>
        <v>75000</v>
      </c>
      <c r="G122" s="7"/>
      <c r="H122" s="7">
        <f t="shared" ref="H122:H123" si="146">+200000</f>
        <v>200000</v>
      </c>
      <c r="I122" s="7"/>
      <c r="J122" s="7"/>
      <c r="K122" s="7"/>
      <c r="L122" s="7"/>
      <c r="M122" s="7"/>
    </row>
    <row r="123">
      <c r="A123" s="1" t="s">
        <v>110</v>
      </c>
      <c r="B123" s="1" t="s">
        <v>4</v>
      </c>
      <c r="C123" s="2" t="s">
        <v>127</v>
      </c>
      <c r="D123" s="7">
        <f t="shared" si="145"/>
        <v>50000</v>
      </c>
      <c r="E123" s="7">
        <f t="shared" si="142"/>
        <v>75000</v>
      </c>
      <c r="F123" s="7">
        <f>+100000</f>
        <v>100000</v>
      </c>
      <c r="G123" s="7"/>
      <c r="H123" s="7">
        <f t="shared" si="146"/>
        <v>200000</v>
      </c>
      <c r="I123" s="7"/>
      <c r="J123" s="7"/>
      <c r="K123" s="7"/>
      <c r="L123" s="7"/>
      <c r="M123" s="7"/>
    </row>
    <row r="124">
      <c r="A124" s="1" t="s">
        <v>110</v>
      </c>
      <c r="B124" s="1" t="s">
        <v>4</v>
      </c>
      <c r="C124" s="2" t="s">
        <v>128</v>
      </c>
      <c r="D124" s="7">
        <f>+100000</f>
        <v>100000</v>
      </c>
      <c r="E124" s="7">
        <f t="shared" ref="E124:F124" si="147">+200000</f>
        <v>200000</v>
      </c>
      <c r="F124" s="7">
        <f t="shared" si="147"/>
        <v>200000</v>
      </c>
      <c r="G124" s="7"/>
      <c r="H124" s="7">
        <f t="shared" ref="H124:H125" si="149">+400000</f>
        <v>400000</v>
      </c>
      <c r="I124" s="7"/>
      <c r="J124" s="7"/>
      <c r="K124" s="7"/>
      <c r="L124" s="7"/>
      <c r="M124" s="7"/>
    </row>
    <row r="125">
      <c r="A125" s="1" t="s">
        <v>110</v>
      </c>
      <c r="B125" s="1" t="s">
        <v>4</v>
      </c>
      <c r="C125" s="2" t="s">
        <v>129</v>
      </c>
      <c r="D125" s="7">
        <f>+75000</f>
        <v>75000</v>
      </c>
      <c r="E125" s="7">
        <f t="shared" ref="E125:F125" si="148">+250000</f>
        <v>250000</v>
      </c>
      <c r="F125" s="7">
        <f t="shared" si="148"/>
        <v>250000</v>
      </c>
      <c r="G125" s="7"/>
      <c r="H125" s="7">
        <f t="shared" si="149"/>
        <v>400000</v>
      </c>
      <c r="I125" s="7"/>
      <c r="J125" s="7"/>
      <c r="K125" s="7"/>
      <c r="L125" s="7"/>
      <c r="M125" s="7"/>
    </row>
    <row r="126">
      <c r="A126" s="1" t="s">
        <v>110</v>
      </c>
      <c r="B126" s="1" t="s">
        <v>4</v>
      </c>
      <c r="C126" s="2" t="s">
        <v>130</v>
      </c>
      <c r="D126" s="7">
        <f>+50000</f>
        <v>50000</v>
      </c>
      <c r="E126" s="7">
        <f t="shared" ref="E126:F126" si="150">+100000</f>
        <v>100000</v>
      </c>
      <c r="F126" s="7">
        <f t="shared" si="150"/>
        <v>100000</v>
      </c>
      <c r="G126" s="7"/>
      <c r="H126" s="7">
        <f>+450000</f>
        <v>450000</v>
      </c>
      <c r="I126" s="7"/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L1"/>
    <hyperlink r:id="rId10" ref="C2"/>
    <hyperlink r:id="rId11" ref="C3"/>
    <hyperlink r:id="rId12" ref="C4"/>
    <hyperlink r:id="rId13" ref="C5"/>
    <hyperlink r:id="rId14" ref="C6"/>
    <hyperlink r:id="rId15" ref="C7"/>
    <hyperlink r:id="rId16" ref="C8"/>
    <hyperlink r:id="rId17" ref="C9"/>
    <hyperlink r:id="rId18" ref="C10"/>
    <hyperlink r:id="rId19" ref="C11"/>
    <hyperlink r:id="rId20" ref="C12"/>
    <hyperlink r:id="rId21" ref="C13"/>
    <hyperlink r:id="rId22" ref="C14"/>
    <hyperlink r:id="rId23" ref="C15"/>
    <hyperlink r:id="rId24" ref="C16"/>
    <hyperlink r:id="rId25" ref="C17"/>
    <hyperlink r:id="rId26" ref="C18"/>
    <hyperlink r:id="rId27" ref="C19"/>
    <hyperlink r:id="rId28" ref="C20"/>
    <hyperlink r:id="rId29" ref="C21"/>
    <hyperlink r:id="rId30" ref="D22"/>
    <hyperlink r:id="rId31" ref="E22"/>
    <hyperlink r:id="rId32" ref="F22"/>
    <hyperlink r:id="rId33" ref="G22"/>
    <hyperlink r:id="rId34" ref="H22"/>
    <hyperlink r:id="rId35" ref="I22"/>
    <hyperlink r:id="rId36" ref="J22"/>
    <hyperlink r:id="rId37" ref="K22"/>
    <hyperlink r:id="rId38" ref="L22"/>
    <hyperlink r:id="rId39" ref="M22"/>
    <hyperlink r:id="rId40" ref="C23"/>
    <hyperlink r:id="rId41" ref="C24"/>
    <hyperlink r:id="rId42" ref="C25"/>
    <hyperlink r:id="rId43" ref="C26"/>
    <hyperlink r:id="rId44" ref="C27"/>
    <hyperlink r:id="rId45" ref="C28"/>
    <hyperlink r:id="rId46" ref="C29"/>
    <hyperlink r:id="rId47" ref="C30"/>
    <hyperlink r:id="rId48" ref="C31"/>
    <hyperlink r:id="rId49" ref="C32"/>
    <hyperlink r:id="rId50" ref="C33"/>
    <hyperlink r:id="rId51" ref="C34"/>
    <hyperlink r:id="rId52" ref="C35"/>
    <hyperlink r:id="rId53" ref="C36"/>
    <hyperlink r:id="rId54" ref="C37"/>
    <hyperlink r:id="rId55" ref="C38"/>
    <hyperlink r:id="rId56" ref="C39"/>
    <hyperlink r:id="rId57" ref="C40"/>
    <hyperlink r:id="rId58" ref="C41"/>
    <hyperlink r:id="rId59" ref="C42"/>
    <hyperlink r:id="rId60" ref="D43"/>
    <hyperlink r:id="rId61" ref="E43"/>
    <hyperlink r:id="rId62" ref="F43"/>
    <hyperlink r:id="rId63" ref="G43"/>
    <hyperlink r:id="rId64" ref="H43"/>
    <hyperlink r:id="rId65" ref="I43"/>
    <hyperlink r:id="rId66" ref="J43"/>
    <hyperlink r:id="rId67" ref="K43"/>
    <hyperlink r:id="rId68" ref="L43"/>
    <hyperlink r:id="rId69" ref="M43"/>
    <hyperlink r:id="rId70" ref="C44"/>
    <hyperlink r:id="rId71" ref="C45"/>
    <hyperlink r:id="rId72" ref="C46"/>
    <hyperlink r:id="rId73" ref="C47"/>
    <hyperlink r:id="rId74" ref="C48"/>
    <hyperlink r:id="rId75" ref="C49"/>
    <hyperlink r:id="rId76" ref="C50"/>
    <hyperlink r:id="rId77" ref="C51"/>
    <hyperlink r:id="rId78" ref="C52"/>
    <hyperlink r:id="rId79" ref="C53"/>
    <hyperlink r:id="rId80" ref="C54"/>
    <hyperlink r:id="rId81" ref="C55"/>
    <hyperlink r:id="rId82" ref="C56"/>
    <hyperlink r:id="rId83" ref="C57"/>
    <hyperlink r:id="rId84" ref="C58"/>
    <hyperlink r:id="rId85" ref="C59"/>
    <hyperlink r:id="rId86" ref="C60"/>
    <hyperlink r:id="rId87" ref="C61"/>
    <hyperlink r:id="rId88" ref="C62"/>
    <hyperlink r:id="rId89" ref="C63"/>
    <hyperlink r:id="rId90" ref="D64"/>
    <hyperlink r:id="rId91" ref="E64"/>
    <hyperlink r:id="rId92" ref="F64"/>
    <hyperlink r:id="rId93" ref="G64"/>
    <hyperlink r:id="rId94" ref="H64"/>
    <hyperlink r:id="rId95" ref="I64"/>
    <hyperlink r:id="rId96" ref="J64"/>
    <hyperlink r:id="rId97" ref="K64"/>
    <hyperlink r:id="rId98" ref="L64"/>
    <hyperlink r:id="rId99" ref="M64"/>
    <hyperlink r:id="rId100" ref="C65"/>
    <hyperlink r:id="rId101" ref="C66"/>
    <hyperlink r:id="rId102" ref="C67"/>
    <hyperlink r:id="rId103" ref="C68"/>
    <hyperlink r:id="rId104" ref="C69"/>
    <hyperlink r:id="rId105" ref="C70"/>
    <hyperlink r:id="rId106" ref="C71"/>
    <hyperlink r:id="rId107" ref="C72"/>
    <hyperlink r:id="rId108" ref="C73"/>
    <hyperlink r:id="rId109" ref="C74"/>
    <hyperlink r:id="rId110" ref="C75"/>
    <hyperlink r:id="rId111" ref="C76"/>
    <hyperlink r:id="rId112" ref="C77"/>
    <hyperlink r:id="rId113" ref="C78"/>
    <hyperlink r:id="rId114" ref="C79"/>
    <hyperlink r:id="rId115" ref="C80"/>
    <hyperlink r:id="rId116" ref="C81"/>
    <hyperlink r:id="rId117" ref="C82"/>
    <hyperlink r:id="rId118" ref="C83"/>
    <hyperlink r:id="rId119" ref="C84"/>
    <hyperlink r:id="rId120" ref="D85"/>
    <hyperlink r:id="rId121" ref="E85"/>
    <hyperlink r:id="rId122" ref="F85"/>
    <hyperlink r:id="rId123" ref="G85"/>
    <hyperlink r:id="rId124" ref="H85"/>
    <hyperlink r:id="rId125" ref="I85"/>
    <hyperlink r:id="rId126" ref="J85"/>
    <hyperlink r:id="rId127" ref="K85"/>
    <hyperlink r:id="rId128" ref="L85"/>
    <hyperlink r:id="rId129" ref="M85"/>
    <hyperlink r:id="rId130" ref="C86"/>
    <hyperlink r:id="rId131" ref="C87"/>
    <hyperlink r:id="rId132" ref="C88"/>
    <hyperlink r:id="rId133" ref="C89"/>
    <hyperlink r:id="rId134" ref="C90"/>
    <hyperlink r:id="rId135" ref="C91"/>
    <hyperlink r:id="rId136" ref="C92"/>
    <hyperlink r:id="rId137" ref="C93"/>
    <hyperlink r:id="rId138" ref="C94"/>
    <hyperlink r:id="rId139" ref="C95"/>
    <hyperlink r:id="rId140" ref="C96"/>
    <hyperlink r:id="rId141" ref="C97"/>
    <hyperlink r:id="rId142" ref="C98"/>
    <hyperlink r:id="rId143" ref="C99"/>
    <hyperlink r:id="rId144" ref="C100"/>
    <hyperlink r:id="rId145" ref="C101"/>
    <hyperlink r:id="rId146" ref="C102"/>
    <hyperlink r:id="rId147" ref="C103"/>
    <hyperlink r:id="rId148" ref="C104"/>
    <hyperlink r:id="rId149" ref="C105"/>
    <hyperlink r:id="rId150" ref="D106"/>
    <hyperlink r:id="rId151" ref="E106"/>
    <hyperlink r:id="rId152" ref="F106"/>
    <hyperlink r:id="rId153" ref="G106"/>
    <hyperlink r:id="rId154" ref="H106"/>
    <hyperlink r:id="rId155" ref="I106"/>
    <hyperlink r:id="rId156" ref="J106"/>
    <hyperlink r:id="rId157" ref="K106"/>
    <hyperlink r:id="rId158" ref="L106"/>
    <hyperlink r:id="rId159" ref="C107"/>
    <hyperlink r:id="rId160" ref="C108"/>
    <hyperlink r:id="rId161" ref="C109"/>
    <hyperlink r:id="rId162" ref="C110"/>
    <hyperlink r:id="rId163" ref="C111"/>
    <hyperlink r:id="rId164" ref="C112"/>
    <hyperlink r:id="rId165" ref="C113"/>
    <hyperlink r:id="rId166" ref="C114"/>
    <hyperlink r:id="rId167" ref="C115"/>
    <hyperlink r:id="rId168" ref="C116"/>
    <hyperlink r:id="rId169" ref="C117"/>
    <hyperlink r:id="rId170" ref="C118"/>
    <hyperlink r:id="rId171" ref="C119"/>
    <hyperlink r:id="rId172" ref="C120"/>
    <hyperlink r:id="rId173" ref="C121"/>
    <hyperlink r:id="rId174" ref="C122"/>
    <hyperlink r:id="rId175" ref="C123"/>
    <hyperlink r:id="rId176" ref="C124"/>
    <hyperlink r:id="rId177" ref="C125"/>
    <hyperlink r:id="rId178" ref="C126"/>
  </hyperlinks>
  <drawing r:id="rId1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88"/>
    <col customWidth="1" min="3" max="3" width="19.13"/>
    <col customWidth="1" min="4" max="11" width="6.5"/>
    <col customWidth="1" min="12" max="12" width="6.13"/>
    <col customWidth="1" min="13" max="14" width="14.5"/>
  </cols>
  <sheetData>
    <row r="1">
      <c r="C1" s="3" t="s">
        <v>2</v>
      </c>
      <c r="D1" s="4">
        <v>45809.0</v>
      </c>
      <c r="E1" s="4">
        <v>45931.0</v>
      </c>
      <c r="F1" s="4">
        <v>45962.0</v>
      </c>
      <c r="G1" s="4">
        <v>45992.0</v>
      </c>
      <c r="H1" s="4">
        <v>45658.0</v>
      </c>
      <c r="I1" s="4">
        <v>45689.0</v>
      </c>
      <c r="J1" s="4">
        <v>45717.0</v>
      </c>
      <c r="K1" s="4">
        <v>45748.0</v>
      </c>
      <c r="L1" s="5">
        <v>45778.0</v>
      </c>
      <c r="M1" s="6"/>
    </row>
    <row r="2">
      <c r="A2" s="1" t="s">
        <v>3</v>
      </c>
      <c r="B2" s="9" t="s">
        <v>4</v>
      </c>
      <c r="C2" s="2" t="s">
        <v>131</v>
      </c>
      <c r="D2" s="7"/>
      <c r="E2" s="8">
        <v>-190.0</v>
      </c>
      <c r="F2" s="8">
        <v>-350.0</v>
      </c>
      <c r="G2" s="7"/>
      <c r="H2" s="7"/>
      <c r="I2" s="7"/>
      <c r="J2" s="7"/>
      <c r="K2" s="7"/>
      <c r="L2" s="7"/>
      <c r="M2" s="7"/>
    </row>
    <row r="3">
      <c r="A3" s="1" t="s">
        <v>3</v>
      </c>
      <c r="B3" s="9" t="s">
        <v>4</v>
      </c>
      <c r="C3" s="2" t="s">
        <v>132</v>
      </c>
      <c r="D3" s="7"/>
      <c r="E3" s="8">
        <v>-300.0</v>
      </c>
      <c r="F3" s="8">
        <v>-200.0</v>
      </c>
      <c r="G3" s="7"/>
      <c r="H3" s="7"/>
      <c r="I3" s="7"/>
      <c r="J3" s="7"/>
      <c r="K3" s="7"/>
      <c r="L3" s="7"/>
      <c r="M3" s="7"/>
    </row>
    <row r="4">
      <c r="A4" s="1" t="s">
        <v>3</v>
      </c>
      <c r="B4" s="9" t="s">
        <v>4</v>
      </c>
      <c r="C4" s="2" t="s">
        <v>133</v>
      </c>
      <c r="D4" s="7"/>
      <c r="E4" s="7">
        <f>+138</f>
        <v>138</v>
      </c>
      <c r="F4" s="8">
        <v>-175.0</v>
      </c>
      <c r="G4" s="7"/>
      <c r="H4" s="7"/>
      <c r="I4" s="7"/>
      <c r="J4" s="7"/>
      <c r="K4" s="7"/>
      <c r="L4" s="7"/>
      <c r="M4" s="7"/>
    </row>
    <row r="5">
      <c r="A5" s="1" t="s">
        <v>3</v>
      </c>
      <c r="B5" s="9" t="s">
        <v>4</v>
      </c>
      <c r="C5" s="2" t="s">
        <v>134</v>
      </c>
      <c r="D5" s="7"/>
      <c r="E5" s="7">
        <f>+350</f>
        <v>350</v>
      </c>
      <c r="F5" s="7">
        <f>+275</f>
        <v>275</v>
      </c>
      <c r="G5" s="7"/>
      <c r="H5" s="7"/>
      <c r="I5" s="7"/>
      <c r="J5" s="7"/>
      <c r="K5" s="7"/>
      <c r="L5" s="7"/>
      <c r="M5" s="7"/>
    </row>
    <row r="6">
      <c r="A6" s="1" t="s">
        <v>3</v>
      </c>
      <c r="B6" s="9" t="s">
        <v>4</v>
      </c>
      <c r="C6" s="2" t="s">
        <v>135</v>
      </c>
      <c r="D6" s="7"/>
      <c r="E6" s="7">
        <f>+275</f>
        <v>275</v>
      </c>
      <c r="F6" s="7">
        <f>+300</f>
        <v>300</v>
      </c>
      <c r="G6" s="7"/>
      <c r="H6" s="7"/>
      <c r="I6" s="7"/>
      <c r="J6" s="7"/>
      <c r="K6" s="7"/>
      <c r="L6" s="7"/>
      <c r="M6" s="7"/>
    </row>
    <row r="7">
      <c r="A7" s="1" t="s">
        <v>3</v>
      </c>
      <c r="B7" s="9" t="s">
        <v>4</v>
      </c>
      <c r="C7" s="2" t="s">
        <v>136</v>
      </c>
      <c r="D7" s="7"/>
      <c r="E7" s="7">
        <f>+1000</f>
        <v>1000</v>
      </c>
      <c r="F7" s="7">
        <f>+600</f>
        <v>600</v>
      </c>
      <c r="G7" s="7"/>
      <c r="H7" s="7"/>
      <c r="I7" s="7"/>
      <c r="J7" s="7"/>
      <c r="K7" s="7"/>
      <c r="L7" s="7"/>
      <c r="M7" s="7"/>
    </row>
    <row r="8">
      <c r="A8" s="1" t="s">
        <v>3</v>
      </c>
      <c r="B8" s="9" t="s">
        <v>4</v>
      </c>
      <c r="C8" s="2" t="s">
        <v>137</v>
      </c>
      <c r="D8" s="7"/>
      <c r="E8" s="7">
        <f>+175</f>
        <v>175</v>
      </c>
      <c r="F8" s="7">
        <f>+750</f>
        <v>750</v>
      </c>
      <c r="G8" s="7"/>
      <c r="H8" s="7"/>
      <c r="I8" s="7"/>
      <c r="J8" s="7"/>
      <c r="K8" s="7"/>
      <c r="L8" s="7"/>
      <c r="M8" s="7"/>
    </row>
    <row r="9">
      <c r="A9" s="1" t="s">
        <v>3</v>
      </c>
      <c r="B9" s="9" t="s">
        <v>4</v>
      </c>
      <c r="C9" s="2" t="s">
        <v>138</v>
      </c>
      <c r="D9" s="7"/>
      <c r="E9" s="7">
        <f t="shared" ref="E9:F9" si="1">+1200</f>
        <v>1200</v>
      </c>
      <c r="F9" s="7">
        <f t="shared" si="1"/>
        <v>1200</v>
      </c>
      <c r="G9" s="7"/>
      <c r="H9" s="7"/>
      <c r="I9" s="7"/>
      <c r="J9" s="7"/>
      <c r="K9" s="7"/>
      <c r="L9" s="7"/>
      <c r="M9" s="7"/>
    </row>
    <row r="10">
      <c r="A10" s="1" t="s">
        <v>3</v>
      </c>
      <c r="B10" s="9" t="s">
        <v>4</v>
      </c>
      <c r="C10" s="2" t="s">
        <v>139</v>
      </c>
      <c r="D10" s="7"/>
      <c r="E10" s="7">
        <f>+333</f>
        <v>333</v>
      </c>
      <c r="F10" s="7">
        <f>+1600</f>
        <v>1600</v>
      </c>
      <c r="G10" s="7"/>
      <c r="H10" s="7"/>
      <c r="I10" s="7"/>
      <c r="J10" s="7"/>
      <c r="K10" s="7"/>
      <c r="L10" s="7"/>
      <c r="M10" s="7"/>
    </row>
    <row r="11">
      <c r="A11" s="1" t="s">
        <v>3</v>
      </c>
      <c r="B11" s="9" t="s">
        <v>4</v>
      </c>
      <c r="C11" s="2" t="s">
        <v>140</v>
      </c>
      <c r="D11" s="7"/>
      <c r="E11" s="7">
        <f t="shared" ref="E11:F11" si="2">+1600</f>
        <v>1600</v>
      </c>
      <c r="F11" s="7">
        <f t="shared" si="2"/>
        <v>1600</v>
      </c>
      <c r="G11" s="7"/>
      <c r="H11" s="7"/>
      <c r="I11" s="7"/>
      <c r="J11" s="7"/>
      <c r="K11" s="7"/>
      <c r="L11" s="7"/>
      <c r="M11" s="7"/>
    </row>
    <row r="12">
      <c r="A12" s="1" t="s">
        <v>3</v>
      </c>
      <c r="B12" s="9" t="s">
        <v>4</v>
      </c>
      <c r="C12" s="2" t="s">
        <v>141</v>
      </c>
      <c r="D12" s="7"/>
      <c r="E12" s="7">
        <f t="shared" ref="E12:E13" si="3">+3300</f>
        <v>3300</v>
      </c>
      <c r="F12" s="7">
        <f t="shared" ref="F12:F13" si="4">+2500</f>
        <v>2500</v>
      </c>
      <c r="G12" s="7"/>
      <c r="H12" s="7"/>
      <c r="I12" s="7"/>
      <c r="J12" s="7"/>
      <c r="K12" s="7"/>
      <c r="L12" s="7"/>
      <c r="M12" s="7"/>
    </row>
    <row r="13">
      <c r="A13" s="1" t="s">
        <v>3</v>
      </c>
      <c r="B13" s="9" t="s">
        <v>4</v>
      </c>
      <c r="C13" s="2" t="s">
        <v>142</v>
      </c>
      <c r="D13" s="7"/>
      <c r="E13" s="7">
        <f t="shared" si="3"/>
        <v>3300</v>
      </c>
      <c r="F13" s="7">
        <f t="shared" si="4"/>
        <v>2500</v>
      </c>
      <c r="G13" s="7"/>
      <c r="H13" s="7"/>
      <c r="I13" s="7"/>
      <c r="J13" s="7"/>
      <c r="K13" s="7"/>
      <c r="L13" s="7"/>
      <c r="M13" s="7"/>
    </row>
    <row r="14">
      <c r="A14" s="1" t="s">
        <v>3</v>
      </c>
      <c r="B14" s="9" t="s">
        <v>4</v>
      </c>
      <c r="C14" s="2" t="s">
        <v>143</v>
      </c>
      <c r="D14" s="7"/>
      <c r="E14" s="7">
        <f>+1600</f>
        <v>1600</v>
      </c>
      <c r="F14" s="7">
        <f>+3300</f>
        <v>3300</v>
      </c>
      <c r="G14" s="7"/>
      <c r="H14" s="7"/>
      <c r="I14" s="7"/>
      <c r="J14" s="7"/>
      <c r="K14" s="7"/>
      <c r="L14" s="7"/>
      <c r="M14" s="7"/>
    </row>
    <row r="15">
      <c r="A15" s="1" t="s">
        <v>3</v>
      </c>
      <c r="B15" s="9" t="s">
        <v>4</v>
      </c>
      <c r="C15" s="2" t="s">
        <v>144</v>
      </c>
      <c r="D15" s="7"/>
      <c r="E15" s="7">
        <f>+2500</f>
        <v>2500</v>
      </c>
      <c r="F15" s="7">
        <f t="shared" ref="F15:F16" si="5">+6600</f>
        <v>6600</v>
      </c>
      <c r="G15" s="7"/>
      <c r="H15" s="7"/>
      <c r="I15" s="7"/>
      <c r="J15" s="7"/>
      <c r="K15" s="7"/>
      <c r="L15" s="7"/>
      <c r="M15" s="7"/>
    </row>
    <row r="16">
      <c r="A16" s="1" t="s">
        <v>3</v>
      </c>
      <c r="B16" s="9" t="s">
        <v>4</v>
      </c>
      <c r="C16" s="2" t="s">
        <v>145</v>
      </c>
      <c r="D16" s="7"/>
      <c r="E16" s="7">
        <f>+3300</f>
        <v>3300</v>
      </c>
      <c r="F16" s="7">
        <f t="shared" si="5"/>
        <v>6600</v>
      </c>
      <c r="G16" s="7"/>
      <c r="H16" s="7"/>
      <c r="I16" s="7"/>
      <c r="J16" s="7"/>
      <c r="K16" s="7"/>
      <c r="L16" s="7"/>
      <c r="M16" s="7"/>
    </row>
    <row r="17">
      <c r="A17" s="1" t="s">
        <v>3</v>
      </c>
      <c r="B17" s="9" t="s">
        <v>4</v>
      </c>
      <c r="C17" s="2" t="s">
        <v>146</v>
      </c>
      <c r="D17" s="7"/>
      <c r="E17" s="7">
        <f t="shared" ref="E17:F17" si="6">+10000</f>
        <v>10000</v>
      </c>
      <c r="F17" s="7">
        <f t="shared" si="6"/>
        <v>10000</v>
      </c>
      <c r="G17" s="7"/>
      <c r="H17" s="7"/>
      <c r="I17" s="7"/>
      <c r="J17" s="7"/>
      <c r="K17" s="7"/>
      <c r="L17" s="7"/>
      <c r="M17" s="7"/>
    </row>
    <row r="18">
      <c r="A18" s="1" t="s">
        <v>3</v>
      </c>
      <c r="B18" s="9" t="s">
        <v>4</v>
      </c>
      <c r="C18" s="2" t="s">
        <v>147</v>
      </c>
      <c r="D18" s="7"/>
      <c r="E18" s="7">
        <f t="shared" ref="E18:F18" si="7">+10000</f>
        <v>10000</v>
      </c>
      <c r="F18" s="7">
        <f t="shared" si="7"/>
        <v>10000</v>
      </c>
      <c r="G18" s="7"/>
      <c r="H18" s="7"/>
      <c r="I18" s="7"/>
      <c r="J18" s="7"/>
      <c r="K18" s="7"/>
      <c r="L18" s="7"/>
      <c r="M18" s="7"/>
    </row>
    <row r="19">
      <c r="A19" s="1" t="s">
        <v>3</v>
      </c>
      <c r="B19" s="9" t="s">
        <v>4</v>
      </c>
      <c r="C19" s="2" t="s">
        <v>148</v>
      </c>
      <c r="D19" s="7"/>
      <c r="E19" s="7">
        <f>+8000</f>
        <v>8000</v>
      </c>
      <c r="F19" s="7">
        <f>+15000</f>
        <v>15000</v>
      </c>
      <c r="G19" s="7"/>
      <c r="H19" s="7"/>
      <c r="I19" s="7"/>
      <c r="J19" s="7"/>
      <c r="K19" s="7"/>
      <c r="L19" s="7"/>
      <c r="M19" s="7"/>
    </row>
    <row r="20">
      <c r="A20" s="1" t="s">
        <v>3</v>
      </c>
      <c r="B20" s="9" t="s">
        <v>4</v>
      </c>
      <c r="C20" s="2" t="s">
        <v>149</v>
      </c>
      <c r="D20" s="7"/>
      <c r="E20" s="7">
        <f t="shared" ref="E20:F20" si="8">+25000</f>
        <v>25000</v>
      </c>
      <c r="F20" s="7">
        <f t="shared" si="8"/>
        <v>25000</v>
      </c>
      <c r="G20" s="7"/>
      <c r="H20" s="7"/>
      <c r="I20" s="7"/>
      <c r="J20" s="7"/>
      <c r="K20" s="7"/>
      <c r="L20" s="7"/>
      <c r="M20" s="7"/>
    </row>
    <row r="21">
      <c r="A21" s="1" t="s">
        <v>3</v>
      </c>
      <c r="B21" s="9" t="s">
        <v>4</v>
      </c>
      <c r="C21" s="2" t="s">
        <v>150</v>
      </c>
      <c r="D21" s="7"/>
      <c r="E21" s="7">
        <f>+25000</f>
        <v>25000</v>
      </c>
      <c r="F21" s="7">
        <f>+50000</f>
        <v>50000</v>
      </c>
      <c r="G21" s="7"/>
      <c r="H21" s="7"/>
      <c r="I21" s="7"/>
      <c r="J21" s="7"/>
      <c r="K21" s="7"/>
      <c r="L21" s="7"/>
      <c r="M21" s="7"/>
    </row>
    <row r="22">
      <c r="C22" s="3" t="s">
        <v>2</v>
      </c>
      <c r="D22" s="10">
        <v>45809.0</v>
      </c>
      <c r="E22" s="10">
        <v>45885.0</v>
      </c>
      <c r="F22" s="10">
        <v>45931.0</v>
      </c>
      <c r="G22" s="10">
        <v>45962.0</v>
      </c>
      <c r="H22" s="10">
        <v>45992.0</v>
      </c>
      <c r="I22" s="10">
        <v>45658.0</v>
      </c>
      <c r="J22" s="10">
        <v>45689.0</v>
      </c>
      <c r="K22" s="10">
        <v>45717.0</v>
      </c>
      <c r="L22" s="10">
        <v>45748.0</v>
      </c>
      <c r="M22" s="11">
        <v>45778.0</v>
      </c>
      <c r="N22" s="12"/>
    </row>
    <row r="23">
      <c r="A23" s="9" t="s">
        <v>25</v>
      </c>
      <c r="B23" s="9" t="s">
        <v>4</v>
      </c>
      <c r="C23" s="13" t="s">
        <v>151</v>
      </c>
      <c r="D23" s="8">
        <v>-225.0</v>
      </c>
      <c r="E23" s="8">
        <v>-225.0</v>
      </c>
      <c r="F23" s="8">
        <v>-190.0</v>
      </c>
      <c r="G23" s="8">
        <v>-125.0</v>
      </c>
      <c r="H23" s="8">
        <v>-200.0</v>
      </c>
      <c r="I23" s="8">
        <v>-400.0</v>
      </c>
      <c r="J23" s="8">
        <v>-500.0</v>
      </c>
      <c r="K23" s="8">
        <v>-3000.0</v>
      </c>
      <c r="L23" s="8">
        <v>-10000.0</v>
      </c>
      <c r="M23" s="7"/>
      <c r="N23" s="8" t="s">
        <v>152</v>
      </c>
    </row>
    <row r="24">
      <c r="A24" s="1" t="s">
        <v>25</v>
      </c>
      <c r="B24" s="9" t="s">
        <v>4</v>
      </c>
      <c r="C24" s="13" t="s">
        <v>153</v>
      </c>
      <c r="D24" s="8">
        <v>-120.0</v>
      </c>
      <c r="E24" s="8">
        <v>-110.0</v>
      </c>
      <c r="F24" s="7">
        <f>+100</f>
        <v>100</v>
      </c>
      <c r="G24" s="8">
        <v>-190.0</v>
      </c>
      <c r="H24" s="8">
        <v>-175.0</v>
      </c>
      <c r="I24" s="8">
        <v>-225.0</v>
      </c>
      <c r="J24" s="8">
        <v>-200.0</v>
      </c>
      <c r="K24" s="8">
        <v>-1600.0</v>
      </c>
      <c r="L24" s="8">
        <v>-3000.0</v>
      </c>
      <c r="M24" s="7"/>
      <c r="N24" s="8" t="s">
        <v>152</v>
      </c>
    </row>
    <row r="25">
      <c r="A25" s="9" t="s">
        <v>25</v>
      </c>
      <c r="B25" s="9" t="s">
        <v>4</v>
      </c>
      <c r="C25" s="13" t="s">
        <v>154</v>
      </c>
      <c r="D25" s="7">
        <f>+138</f>
        <v>138</v>
      </c>
      <c r="E25" s="7">
        <f>+100</f>
        <v>100</v>
      </c>
      <c r="F25" s="8">
        <v>-275.0</v>
      </c>
      <c r="G25" s="8">
        <v>-650.0</v>
      </c>
      <c r="H25" s="8">
        <v>-700.0</v>
      </c>
      <c r="I25" s="8">
        <v>-5000.0</v>
      </c>
      <c r="J25" s="8">
        <v>-10000.0</v>
      </c>
      <c r="K25" s="8">
        <v>-10000.0</v>
      </c>
      <c r="L25" s="7"/>
      <c r="M25" s="7"/>
      <c r="N25" s="8" t="s">
        <v>152</v>
      </c>
    </row>
    <row r="26">
      <c r="A26" s="1" t="s">
        <v>25</v>
      </c>
      <c r="B26" s="9" t="s">
        <v>4</v>
      </c>
      <c r="C26" s="13" t="s">
        <v>155</v>
      </c>
      <c r="D26" s="7">
        <f>+2500</f>
        <v>2500</v>
      </c>
      <c r="E26" s="7">
        <f>+1000</f>
        <v>1000</v>
      </c>
      <c r="F26" s="7">
        <f>+700</f>
        <v>700</v>
      </c>
      <c r="G26" s="7">
        <f>+600</f>
        <v>600</v>
      </c>
      <c r="H26" s="7">
        <f t="shared" ref="H26:I26" si="9">+800</f>
        <v>800</v>
      </c>
      <c r="I26" s="7">
        <f t="shared" si="9"/>
        <v>800</v>
      </c>
      <c r="J26" s="7">
        <f t="shared" ref="J26:K26" si="10">+1200</f>
        <v>1200</v>
      </c>
      <c r="K26" s="7">
        <f t="shared" si="10"/>
        <v>1200</v>
      </c>
      <c r="L26" s="7">
        <f>+800</f>
        <v>800</v>
      </c>
      <c r="M26" s="7"/>
      <c r="N26" s="7"/>
    </row>
    <row r="27">
      <c r="A27" s="9" t="s">
        <v>25</v>
      </c>
      <c r="B27" s="9" t="s">
        <v>4</v>
      </c>
      <c r="C27" s="13" t="s">
        <v>156</v>
      </c>
      <c r="D27" s="7">
        <f>+400</f>
        <v>400</v>
      </c>
      <c r="E27" s="7">
        <f>+333</f>
        <v>333</v>
      </c>
      <c r="F27" s="7">
        <f>+175</f>
        <v>175</v>
      </c>
      <c r="G27" s="7">
        <f>+140</f>
        <v>140</v>
      </c>
      <c r="H27" s="7">
        <f>+210</f>
        <v>210</v>
      </c>
      <c r="I27" s="7">
        <f>+240</f>
        <v>240</v>
      </c>
      <c r="J27" s="7">
        <f>+110</f>
        <v>110</v>
      </c>
      <c r="K27" s="7">
        <f>+600</f>
        <v>600</v>
      </c>
      <c r="L27" s="7">
        <f>+1200</f>
        <v>1200</v>
      </c>
      <c r="M27" s="7"/>
      <c r="N27" s="7"/>
    </row>
    <row r="28">
      <c r="A28" s="1" t="s">
        <v>25</v>
      </c>
      <c r="B28" s="9" t="s">
        <v>4</v>
      </c>
      <c r="C28" s="13" t="s">
        <v>157</v>
      </c>
      <c r="D28" s="7">
        <f>+125</f>
        <v>125</v>
      </c>
      <c r="E28" s="7">
        <f>+250</f>
        <v>250</v>
      </c>
      <c r="F28" s="7">
        <f>+200</f>
        <v>200</v>
      </c>
      <c r="G28" s="7">
        <f>+320</f>
        <v>320</v>
      </c>
      <c r="H28" s="7">
        <f>+220</f>
        <v>220</v>
      </c>
      <c r="I28" s="7">
        <f>+300</f>
        <v>300</v>
      </c>
      <c r="J28" s="7">
        <f>+900</f>
        <v>900</v>
      </c>
      <c r="K28" s="7">
        <f>+3300</f>
        <v>3300</v>
      </c>
      <c r="L28" s="7">
        <f t="shared" ref="L28:L29" si="13">+6600</f>
        <v>6600</v>
      </c>
      <c r="M28" s="7"/>
      <c r="N28" s="7"/>
    </row>
    <row r="29">
      <c r="A29" s="9" t="s">
        <v>25</v>
      </c>
      <c r="B29" s="9" t="s">
        <v>4</v>
      </c>
      <c r="C29" s="13" t="s">
        <v>158</v>
      </c>
      <c r="D29" s="7">
        <f t="shared" ref="D29:E29" si="11">+1600</f>
        <v>1600</v>
      </c>
      <c r="E29" s="7">
        <f t="shared" si="11"/>
        <v>1600</v>
      </c>
      <c r="F29" s="7">
        <f t="shared" ref="F29:G29" si="12">+1400</f>
        <v>1400</v>
      </c>
      <c r="G29" s="7">
        <f t="shared" si="12"/>
        <v>1400</v>
      </c>
      <c r="H29" s="7">
        <f>+1000</f>
        <v>1000</v>
      </c>
      <c r="I29" s="7">
        <f>+2000</f>
        <v>2000</v>
      </c>
      <c r="J29" s="7">
        <f>+2500</f>
        <v>2500</v>
      </c>
      <c r="K29" s="7">
        <f t="shared" ref="K29:K30" si="16">+5000</f>
        <v>5000</v>
      </c>
      <c r="L29" s="7">
        <f t="shared" si="13"/>
        <v>6600</v>
      </c>
      <c r="M29" s="7"/>
      <c r="N29" s="7"/>
    </row>
    <row r="30">
      <c r="A30" s="1" t="s">
        <v>25</v>
      </c>
      <c r="B30" s="9" t="s">
        <v>4</v>
      </c>
      <c r="C30" s="13" t="s">
        <v>159</v>
      </c>
      <c r="D30" s="7">
        <f t="shared" ref="D30:E30" si="14">+15000</f>
        <v>15000</v>
      </c>
      <c r="E30" s="7">
        <f t="shared" si="14"/>
        <v>15000</v>
      </c>
      <c r="F30" s="7">
        <f t="shared" ref="F30:H30" si="15">+10000</f>
        <v>10000</v>
      </c>
      <c r="G30" s="7">
        <f t="shared" si="15"/>
        <v>10000</v>
      </c>
      <c r="H30" s="7">
        <f t="shared" si="15"/>
        <v>10000</v>
      </c>
      <c r="I30" s="7">
        <f>+2800</f>
        <v>2800</v>
      </c>
      <c r="J30" s="7">
        <f>+2000</f>
        <v>2000</v>
      </c>
      <c r="K30" s="7">
        <f t="shared" si="16"/>
        <v>5000</v>
      </c>
      <c r="L30" s="7">
        <f t="shared" ref="L30:L31" si="19">+10000</f>
        <v>10000</v>
      </c>
      <c r="M30" s="7"/>
      <c r="N30" s="7"/>
    </row>
    <row r="31">
      <c r="A31" s="9" t="s">
        <v>25</v>
      </c>
      <c r="B31" s="9" t="s">
        <v>4</v>
      </c>
      <c r="C31" s="13" t="s">
        <v>160</v>
      </c>
      <c r="D31" s="7">
        <f t="shared" ref="D31:E31" si="17">+20000</f>
        <v>20000</v>
      </c>
      <c r="E31" s="7">
        <f t="shared" si="17"/>
        <v>20000</v>
      </c>
      <c r="F31" s="7">
        <f t="shared" ref="F31:G31" si="18">+25000</f>
        <v>25000</v>
      </c>
      <c r="G31" s="7">
        <f t="shared" si="18"/>
        <v>25000</v>
      </c>
      <c r="H31" s="7">
        <f>+50000</f>
        <v>50000</v>
      </c>
      <c r="I31" s="7">
        <f>+25000</f>
        <v>25000</v>
      </c>
      <c r="J31" s="7">
        <f>+1600</f>
        <v>1600</v>
      </c>
      <c r="K31" s="7">
        <f>+6600</f>
        <v>6600</v>
      </c>
      <c r="L31" s="7">
        <f t="shared" si="19"/>
        <v>10000</v>
      </c>
      <c r="M31" s="7"/>
      <c r="N31" s="7"/>
    </row>
    <row r="32">
      <c r="A32" s="1" t="s">
        <v>25</v>
      </c>
      <c r="B32" s="9" t="s">
        <v>4</v>
      </c>
      <c r="C32" s="13" t="s">
        <v>161</v>
      </c>
      <c r="D32" s="7">
        <f t="shared" ref="D32:E32" si="20">+900</f>
        <v>900</v>
      </c>
      <c r="E32" s="7">
        <f t="shared" si="20"/>
        <v>900</v>
      </c>
      <c r="F32" s="7">
        <f>+600</f>
        <v>600</v>
      </c>
      <c r="G32" s="7">
        <f>+500</f>
        <v>500</v>
      </c>
      <c r="H32" s="7">
        <f>+350</f>
        <v>350</v>
      </c>
      <c r="I32" s="7">
        <f>+1600</f>
        <v>1600</v>
      </c>
      <c r="J32" s="7">
        <f>+2500</f>
        <v>2500</v>
      </c>
      <c r="K32" s="7">
        <f t="shared" ref="K32:K33" si="22">+10000</f>
        <v>10000</v>
      </c>
      <c r="L32" s="7">
        <f>+15000</f>
        <v>15000</v>
      </c>
      <c r="M32" s="7"/>
      <c r="N32" s="7"/>
    </row>
    <row r="33">
      <c r="A33" s="9" t="s">
        <v>25</v>
      </c>
      <c r="B33" s="9" t="s">
        <v>4</v>
      </c>
      <c r="C33" s="13" t="s">
        <v>162</v>
      </c>
      <c r="D33" s="7">
        <f t="shared" ref="D33:E33" si="21">+450</f>
        <v>450</v>
      </c>
      <c r="E33" s="7">
        <f t="shared" si="21"/>
        <v>450</v>
      </c>
      <c r="F33" s="7">
        <f>+1000</f>
        <v>1000</v>
      </c>
      <c r="G33" s="7">
        <f>+1600</f>
        <v>1600</v>
      </c>
      <c r="H33" s="7">
        <f>+2000</f>
        <v>2000</v>
      </c>
      <c r="I33" s="7">
        <f>+2500</f>
        <v>2500</v>
      </c>
      <c r="J33" s="7">
        <f>+6600</f>
        <v>6600</v>
      </c>
      <c r="K33" s="7">
        <f t="shared" si="22"/>
        <v>10000</v>
      </c>
      <c r="L33" s="7">
        <f>+20000</f>
        <v>20000</v>
      </c>
      <c r="M33" s="7"/>
      <c r="N33" s="7"/>
    </row>
    <row r="34">
      <c r="A34" s="1" t="s">
        <v>25</v>
      </c>
      <c r="B34" s="9" t="s">
        <v>4</v>
      </c>
      <c r="C34" s="13" t="s">
        <v>163</v>
      </c>
      <c r="D34" s="7">
        <f t="shared" ref="D34:E34" si="23">+1600</f>
        <v>1600</v>
      </c>
      <c r="E34" s="7">
        <f t="shared" si="23"/>
        <v>1600</v>
      </c>
      <c r="F34" s="7">
        <f>+5000</f>
        <v>5000</v>
      </c>
      <c r="G34" s="7">
        <f>+15000</f>
        <v>15000</v>
      </c>
      <c r="H34" s="7">
        <f t="shared" ref="H34:I34" si="24">+20000</f>
        <v>20000</v>
      </c>
      <c r="I34" s="7">
        <f t="shared" si="24"/>
        <v>20000</v>
      </c>
      <c r="J34" s="7">
        <f>+25000</f>
        <v>25000</v>
      </c>
      <c r="K34" s="7"/>
      <c r="L34" s="7"/>
      <c r="M34" s="7"/>
      <c r="N34" s="7"/>
    </row>
    <row r="35">
      <c r="A35" s="9" t="s">
        <v>25</v>
      </c>
      <c r="B35" s="9" t="s">
        <v>4</v>
      </c>
      <c r="C35" s="13" t="s">
        <v>164</v>
      </c>
      <c r="D35" s="7">
        <f t="shared" ref="D35:E35" si="25">+550</f>
        <v>550</v>
      </c>
      <c r="E35" s="7">
        <f t="shared" si="25"/>
        <v>550</v>
      </c>
      <c r="F35" s="7">
        <f>+1400</f>
        <v>1400</v>
      </c>
      <c r="G35" s="7">
        <f>+2500</f>
        <v>2500</v>
      </c>
      <c r="H35" s="7">
        <f>+3300</f>
        <v>3300</v>
      </c>
      <c r="I35" s="7">
        <f t="shared" ref="I35:J35" si="26">+25000</f>
        <v>25000</v>
      </c>
      <c r="J35" s="7">
        <f t="shared" si="26"/>
        <v>25000</v>
      </c>
      <c r="K35" s="7"/>
      <c r="L35" s="7"/>
      <c r="M35" s="7"/>
      <c r="N35" s="7"/>
    </row>
    <row r="36">
      <c r="A36" s="1" t="s">
        <v>25</v>
      </c>
      <c r="B36" s="9" t="s">
        <v>4</v>
      </c>
      <c r="C36" s="13" t="s">
        <v>165</v>
      </c>
      <c r="D36" s="7">
        <f t="shared" ref="D36:E36" si="27">+700</f>
        <v>700</v>
      </c>
      <c r="E36" s="7">
        <f t="shared" si="27"/>
        <v>700</v>
      </c>
      <c r="F36" s="7">
        <f>+1200</f>
        <v>1200</v>
      </c>
      <c r="G36" s="7">
        <f>+3300</f>
        <v>3300</v>
      </c>
      <c r="H36" s="7">
        <f>+5000</f>
        <v>5000</v>
      </c>
      <c r="I36" s="7">
        <f>+20000</f>
        <v>20000</v>
      </c>
      <c r="J36" s="7"/>
      <c r="K36" s="7"/>
      <c r="L36" s="7"/>
      <c r="M36" s="7"/>
      <c r="N36" s="7"/>
    </row>
    <row r="37">
      <c r="A37" s="9" t="s">
        <v>25</v>
      </c>
      <c r="B37" s="9" t="s">
        <v>4</v>
      </c>
      <c r="C37" s="13" t="s">
        <v>166</v>
      </c>
      <c r="D37" s="7">
        <f>+200</f>
        <v>200</v>
      </c>
      <c r="E37" s="7">
        <f>+250</f>
        <v>250</v>
      </c>
      <c r="F37" s="7">
        <f>+800</f>
        <v>800</v>
      </c>
      <c r="G37" s="7">
        <f>+2200</f>
        <v>2200</v>
      </c>
      <c r="H37" s="7">
        <f>+4000</f>
        <v>4000</v>
      </c>
      <c r="I37" s="7"/>
      <c r="J37" s="7"/>
      <c r="K37" s="7"/>
      <c r="L37" s="7"/>
      <c r="M37" s="7"/>
      <c r="N37" s="7"/>
    </row>
    <row r="38">
      <c r="A38" s="1" t="s">
        <v>25</v>
      </c>
      <c r="B38" s="9" t="s">
        <v>4</v>
      </c>
      <c r="C38" s="13" t="s">
        <v>167</v>
      </c>
      <c r="D38" s="7">
        <f t="shared" ref="D38:E38" si="28">+2500</f>
        <v>2500</v>
      </c>
      <c r="E38" s="7">
        <f t="shared" si="28"/>
        <v>2500</v>
      </c>
      <c r="F38" s="7">
        <f>+6600</f>
        <v>6600</v>
      </c>
      <c r="G38" s="7">
        <f t="shared" ref="G38:H38" si="29">+10000</f>
        <v>10000</v>
      </c>
      <c r="H38" s="7">
        <f t="shared" si="29"/>
        <v>10000</v>
      </c>
      <c r="I38" s="7"/>
      <c r="J38" s="7"/>
      <c r="K38" s="7"/>
      <c r="L38" s="7"/>
      <c r="M38" s="7"/>
      <c r="N38" s="7"/>
    </row>
    <row r="39">
      <c r="A39" s="9" t="s">
        <v>25</v>
      </c>
      <c r="B39" s="9" t="s">
        <v>4</v>
      </c>
      <c r="C39" s="13" t="s">
        <v>168</v>
      </c>
      <c r="D39" s="7">
        <f t="shared" ref="D39:G39" si="30">+10000</f>
        <v>10000</v>
      </c>
      <c r="E39" s="7">
        <f t="shared" si="30"/>
        <v>10000</v>
      </c>
      <c r="F39" s="7">
        <f t="shared" si="30"/>
        <v>10000</v>
      </c>
      <c r="G39" s="7">
        <f t="shared" si="30"/>
        <v>10000</v>
      </c>
      <c r="H39" s="7">
        <f>+15000</f>
        <v>15000</v>
      </c>
      <c r="I39" s="7"/>
      <c r="J39" s="7"/>
      <c r="K39" s="7"/>
      <c r="L39" s="7"/>
      <c r="M39" s="7"/>
      <c r="N39" s="7"/>
    </row>
    <row r="40">
      <c r="A40" s="1" t="s">
        <v>25</v>
      </c>
      <c r="B40" s="9" t="s">
        <v>4</v>
      </c>
      <c r="C40" s="13" t="s">
        <v>169</v>
      </c>
      <c r="D40" s="7">
        <f t="shared" ref="D40:E40" si="31">+6600</f>
        <v>6600</v>
      </c>
      <c r="E40" s="7">
        <f t="shared" si="31"/>
        <v>6600</v>
      </c>
      <c r="F40" s="7">
        <f>+15000</f>
        <v>15000</v>
      </c>
      <c r="G40" s="7">
        <f>+25000</f>
        <v>25000</v>
      </c>
      <c r="H40" s="7">
        <f>+20000</f>
        <v>20000</v>
      </c>
      <c r="I40" s="7"/>
      <c r="J40" s="7"/>
      <c r="K40" s="7"/>
      <c r="L40" s="7"/>
      <c r="M40" s="7"/>
      <c r="N40" s="7"/>
    </row>
    <row r="41">
      <c r="A41" s="9" t="s">
        <v>25</v>
      </c>
      <c r="B41" s="9" t="s">
        <v>4</v>
      </c>
      <c r="C41" s="13" t="s">
        <v>170</v>
      </c>
      <c r="D41" s="7">
        <f t="shared" ref="D41:H41" si="32">+50000</f>
        <v>50000</v>
      </c>
      <c r="E41" s="7">
        <f t="shared" si="32"/>
        <v>50000</v>
      </c>
      <c r="F41" s="7">
        <f t="shared" si="32"/>
        <v>50000</v>
      </c>
      <c r="G41" s="7">
        <f t="shared" si="32"/>
        <v>50000</v>
      </c>
      <c r="H41" s="7">
        <f t="shared" si="32"/>
        <v>50000</v>
      </c>
      <c r="I41" s="7"/>
      <c r="J41" s="7"/>
      <c r="K41" s="7"/>
      <c r="L41" s="7"/>
      <c r="M41" s="7"/>
      <c r="N41" s="7"/>
    </row>
    <row r="42">
      <c r="A42" s="1" t="s">
        <v>25</v>
      </c>
      <c r="B42" s="9" t="s">
        <v>4</v>
      </c>
      <c r="C42" s="13" t="s">
        <v>171</v>
      </c>
      <c r="D42" s="7">
        <f t="shared" ref="D42:H42" si="33">+50000</f>
        <v>50000</v>
      </c>
      <c r="E42" s="7">
        <f t="shared" si="33"/>
        <v>50000</v>
      </c>
      <c r="F42" s="7">
        <f t="shared" si="33"/>
        <v>50000</v>
      </c>
      <c r="G42" s="7">
        <f t="shared" si="33"/>
        <v>50000</v>
      </c>
      <c r="H42" s="7">
        <f t="shared" si="33"/>
        <v>50000</v>
      </c>
      <c r="I42" s="7"/>
      <c r="J42" s="7"/>
      <c r="K42" s="7"/>
      <c r="L42" s="7"/>
      <c r="M42" s="7"/>
      <c r="N42" s="7"/>
    </row>
    <row r="43">
      <c r="B43" s="9"/>
      <c r="C43" s="3" t="s">
        <v>2</v>
      </c>
      <c r="D43" s="10">
        <v>45817.0</v>
      </c>
      <c r="E43" s="10">
        <v>45880.0</v>
      </c>
      <c r="F43" s="10">
        <v>45931.0</v>
      </c>
      <c r="G43" s="10">
        <v>45962.0</v>
      </c>
      <c r="H43" s="10">
        <v>45992.0</v>
      </c>
      <c r="I43" s="10">
        <v>45658.0</v>
      </c>
      <c r="J43" s="10">
        <v>45689.0</v>
      </c>
      <c r="K43" s="10">
        <v>45717.0</v>
      </c>
      <c r="L43" s="10">
        <v>45748.0</v>
      </c>
      <c r="M43" s="11">
        <v>45778.0</v>
      </c>
      <c r="N43" s="12"/>
    </row>
    <row r="44">
      <c r="A44" s="1" t="s">
        <v>47</v>
      </c>
      <c r="B44" s="9" t="s">
        <v>4</v>
      </c>
      <c r="C44" s="13" t="s">
        <v>172</v>
      </c>
      <c r="D44" s="7">
        <f>+225</f>
        <v>225</v>
      </c>
      <c r="E44" s="7">
        <f>+350</f>
        <v>350</v>
      </c>
      <c r="F44" s="7">
        <f>+160</f>
        <v>160</v>
      </c>
      <c r="G44" s="7"/>
      <c r="H44" s="7">
        <f>+160</f>
        <v>160</v>
      </c>
      <c r="I44" s="8">
        <v>-375.0</v>
      </c>
      <c r="J44" s="8">
        <v>-400.0</v>
      </c>
      <c r="K44" s="8">
        <v>-2000.0</v>
      </c>
      <c r="L44" s="8">
        <v>-900.0</v>
      </c>
      <c r="M44" s="8">
        <v>-800.0</v>
      </c>
      <c r="N44" s="8" t="s">
        <v>152</v>
      </c>
    </row>
    <row r="45">
      <c r="A45" s="1" t="s">
        <v>47</v>
      </c>
      <c r="B45" s="9" t="s">
        <v>4</v>
      </c>
      <c r="C45" s="13" t="s">
        <v>173</v>
      </c>
      <c r="D45" s="8">
        <v>-300.0</v>
      </c>
      <c r="E45" s="8">
        <v>-275.0</v>
      </c>
      <c r="F45" s="8">
        <v>-400.0</v>
      </c>
      <c r="G45" s="7"/>
      <c r="H45" s="8">
        <v>-400.0</v>
      </c>
      <c r="I45" s="8">
        <v>-375.0</v>
      </c>
      <c r="J45" s="8">
        <v>-120.0</v>
      </c>
      <c r="K45" s="8">
        <v>-175.0</v>
      </c>
      <c r="L45" s="8">
        <v>-165.0</v>
      </c>
      <c r="M45" s="8">
        <v>-500.0</v>
      </c>
      <c r="N45" s="8" t="s">
        <v>152</v>
      </c>
    </row>
    <row r="46">
      <c r="A46" s="1" t="s">
        <v>47</v>
      </c>
      <c r="B46" s="9" t="s">
        <v>4</v>
      </c>
      <c r="C46" s="13" t="s">
        <v>174</v>
      </c>
      <c r="D46" s="8">
        <v>-125.0</v>
      </c>
      <c r="E46" s="8">
        <v>-175.0</v>
      </c>
      <c r="F46" s="8">
        <v>-500.0</v>
      </c>
      <c r="G46" s="7"/>
      <c r="H46" s="8">
        <v>-500.0</v>
      </c>
      <c r="I46" s="8">
        <v>-3000.0</v>
      </c>
      <c r="J46" s="8">
        <v>-3000.0</v>
      </c>
      <c r="K46" s="8">
        <v>-5000.0</v>
      </c>
      <c r="L46" s="8">
        <v>-10000.0</v>
      </c>
      <c r="M46" s="7"/>
      <c r="N46" s="8" t="s">
        <v>152</v>
      </c>
    </row>
    <row r="47">
      <c r="A47" s="1" t="s">
        <v>47</v>
      </c>
      <c r="B47" s="9" t="s">
        <v>4</v>
      </c>
      <c r="C47" s="13" t="s">
        <v>175</v>
      </c>
      <c r="D47" s="7">
        <f>+275</f>
        <v>275</v>
      </c>
      <c r="E47" s="7">
        <f>+225</f>
        <v>225</v>
      </c>
      <c r="F47" s="7">
        <f>+500</f>
        <v>500</v>
      </c>
      <c r="G47" s="7"/>
      <c r="H47" s="7">
        <f>+500</f>
        <v>500</v>
      </c>
      <c r="I47" s="7">
        <f>+400</f>
        <v>400</v>
      </c>
      <c r="J47" s="7">
        <f>+160</f>
        <v>160</v>
      </c>
      <c r="K47" s="7">
        <f>+165</f>
        <v>165</v>
      </c>
      <c r="L47" s="7">
        <f>+138</f>
        <v>138</v>
      </c>
      <c r="M47" s="7">
        <f>+165</f>
        <v>165</v>
      </c>
      <c r="N47" s="7"/>
    </row>
    <row r="48">
      <c r="A48" s="1" t="s">
        <v>47</v>
      </c>
      <c r="B48" s="9" t="s">
        <v>4</v>
      </c>
      <c r="C48" s="13" t="s">
        <v>176</v>
      </c>
      <c r="D48" s="7">
        <f>+350</f>
        <v>350</v>
      </c>
      <c r="E48" s="7">
        <f>+300</f>
        <v>300</v>
      </c>
      <c r="F48" s="7">
        <f>+225</f>
        <v>225</v>
      </c>
      <c r="G48" s="7"/>
      <c r="H48" s="7">
        <f>+225</f>
        <v>225</v>
      </c>
      <c r="I48" s="7">
        <f>+550</f>
        <v>550</v>
      </c>
      <c r="J48" s="7">
        <f>+250</f>
        <v>250</v>
      </c>
      <c r="K48" s="7">
        <f>+600</f>
        <v>600</v>
      </c>
      <c r="L48" s="7">
        <f>+350</f>
        <v>350</v>
      </c>
      <c r="M48" s="7"/>
      <c r="N48" s="7"/>
    </row>
    <row r="49">
      <c r="A49" s="1" t="s">
        <v>47</v>
      </c>
      <c r="B49" s="9" t="s">
        <v>4</v>
      </c>
      <c r="C49" s="13" t="s">
        <v>177</v>
      </c>
      <c r="D49" s="7">
        <f>+800</f>
        <v>800</v>
      </c>
      <c r="E49" s="7">
        <f>+1000</f>
        <v>1000</v>
      </c>
      <c r="F49" s="7">
        <f>+1400</f>
        <v>1400</v>
      </c>
      <c r="G49" s="7"/>
      <c r="H49" s="7">
        <f>+1400</f>
        <v>1400</v>
      </c>
      <c r="I49" s="7">
        <f t="shared" ref="I49:I50" si="35">+800</f>
        <v>800</v>
      </c>
      <c r="J49" s="7">
        <f>+700</f>
        <v>700</v>
      </c>
      <c r="K49" s="7">
        <f>+800</f>
        <v>800</v>
      </c>
      <c r="L49" s="7">
        <f>+1400</f>
        <v>1400</v>
      </c>
      <c r="M49" s="7"/>
      <c r="N49" s="7"/>
    </row>
    <row r="50">
      <c r="A50" s="1" t="s">
        <v>47</v>
      </c>
      <c r="B50" s="9" t="s">
        <v>4</v>
      </c>
      <c r="C50" s="13" t="s">
        <v>178</v>
      </c>
      <c r="D50" s="7">
        <f t="shared" ref="D50:E50" si="34">+600</f>
        <v>600</v>
      </c>
      <c r="E50" s="7">
        <f t="shared" si="34"/>
        <v>600</v>
      </c>
      <c r="F50" s="7">
        <f>+2000</f>
        <v>2000</v>
      </c>
      <c r="G50" s="7"/>
      <c r="H50" s="7">
        <f>+2000</f>
        <v>2000</v>
      </c>
      <c r="I50" s="7">
        <f t="shared" si="35"/>
        <v>800</v>
      </c>
      <c r="J50" s="7">
        <f>+1100</f>
        <v>1100</v>
      </c>
      <c r="K50" s="7">
        <f>+1600</f>
        <v>1600</v>
      </c>
      <c r="L50" s="7">
        <f>+2000</f>
        <v>2000</v>
      </c>
      <c r="M50" s="7"/>
      <c r="N50" s="7"/>
    </row>
    <row r="51">
      <c r="A51" s="1" t="s">
        <v>47</v>
      </c>
      <c r="B51" s="9" t="s">
        <v>4</v>
      </c>
      <c r="C51" s="13" t="s">
        <v>179</v>
      </c>
      <c r="D51" s="7">
        <f t="shared" ref="D51:E51" si="36">+350</f>
        <v>350</v>
      </c>
      <c r="E51" s="7">
        <f t="shared" si="36"/>
        <v>350</v>
      </c>
      <c r="F51" s="7">
        <f>+700</f>
        <v>700</v>
      </c>
      <c r="G51" s="7"/>
      <c r="H51" s="7">
        <f>+700</f>
        <v>700</v>
      </c>
      <c r="I51" s="7">
        <f>+1000</f>
        <v>1000</v>
      </c>
      <c r="J51" s="7">
        <f>+2500</f>
        <v>2500</v>
      </c>
      <c r="K51" s="7">
        <f t="shared" ref="K51:K52" si="37">+10000</f>
        <v>10000</v>
      </c>
      <c r="L51" s="7"/>
      <c r="M51" s="7"/>
      <c r="N51" s="7"/>
    </row>
    <row r="52">
      <c r="A52" s="1" t="s">
        <v>47</v>
      </c>
      <c r="B52" s="9" t="s">
        <v>4</v>
      </c>
      <c r="C52" s="13" t="s">
        <v>180</v>
      </c>
      <c r="D52" s="7">
        <f>+175</f>
        <v>175</v>
      </c>
      <c r="E52" s="7">
        <f>+275</f>
        <v>275</v>
      </c>
      <c r="F52" s="7">
        <f>+190</f>
        <v>190</v>
      </c>
      <c r="G52" s="7"/>
      <c r="H52" s="7">
        <f>+190</f>
        <v>190</v>
      </c>
      <c r="I52" s="7">
        <f>+6600</f>
        <v>6600</v>
      </c>
      <c r="J52" s="7">
        <f t="shared" ref="J52:J53" si="38">+5000</f>
        <v>5000</v>
      </c>
      <c r="K52" s="7">
        <f t="shared" si="37"/>
        <v>10000</v>
      </c>
      <c r="L52" s="7"/>
      <c r="M52" s="7"/>
      <c r="N52" s="7"/>
    </row>
    <row r="53">
      <c r="A53" s="1" t="s">
        <v>47</v>
      </c>
      <c r="B53" s="9" t="s">
        <v>4</v>
      </c>
      <c r="C53" s="13" t="s">
        <v>181</v>
      </c>
      <c r="D53" s="7">
        <f>+500</f>
        <v>500</v>
      </c>
      <c r="E53" s="7">
        <f>+225</f>
        <v>225</v>
      </c>
      <c r="F53" s="7">
        <f>+300</f>
        <v>300</v>
      </c>
      <c r="G53" s="7"/>
      <c r="H53" s="7">
        <f>+300</f>
        <v>300</v>
      </c>
      <c r="I53" s="7">
        <f>+10000</f>
        <v>10000</v>
      </c>
      <c r="J53" s="7">
        <f t="shared" si="38"/>
        <v>5000</v>
      </c>
      <c r="K53" s="7"/>
      <c r="L53" s="7"/>
      <c r="M53" s="7"/>
      <c r="N53" s="7"/>
    </row>
    <row r="54">
      <c r="A54" s="1" t="s">
        <v>47</v>
      </c>
      <c r="B54" s="9" t="s">
        <v>4</v>
      </c>
      <c r="C54" s="13" t="s">
        <v>182</v>
      </c>
      <c r="D54" s="7">
        <f>+1400</f>
        <v>1400</v>
      </c>
      <c r="E54" s="7">
        <f>+700</f>
        <v>700</v>
      </c>
      <c r="F54" s="7">
        <f>+5000</f>
        <v>5000</v>
      </c>
      <c r="G54" s="7"/>
      <c r="H54" s="7">
        <f>+5000</f>
        <v>5000</v>
      </c>
      <c r="I54" s="7"/>
      <c r="J54" s="7"/>
      <c r="K54" s="7"/>
      <c r="L54" s="7"/>
      <c r="M54" s="7"/>
      <c r="N54" s="7"/>
    </row>
    <row r="55">
      <c r="A55" s="1" t="s">
        <v>47</v>
      </c>
      <c r="B55" s="9" t="s">
        <v>4</v>
      </c>
      <c r="C55" s="13" t="s">
        <v>183</v>
      </c>
      <c r="D55" s="7">
        <f>+2500</f>
        <v>2500</v>
      </c>
      <c r="E55" s="7">
        <f t="shared" ref="E55:E56" si="39">+3300</f>
        <v>3300</v>
      </c>
      <c r="F55" s="7">
        <f>+20000</f>
        <v>20000</v>
      </c>
      <c r="G55" s="7"/>
      <c r="H55" s="7">
        <f>+20000</f>
        <v>20000</v>
      </c>
      <c r="I55" s="7"/>
      <c r="J55" s="7"/>
      <c r="K55" s="7"/>
      <c r="L55" s="7"/>
      <c r="M55" s="7"/>
      <c r="N55" s="7"/>
    </row>
    <row r="56">
      <c r="A56" s="1" t="s">
        <v>47</v>
      </c>
      <c r="B56" s="9" t="s">
        <v>4</v>
      </c>
      <c r="C56" s="13" t="s">
        <v>184</v>
      </c>
      <c r="D56" s="7">
        <f>+5000</f>
        <v>5000</v>
      </c>
      <c r="E56" s="7">
        <f t="shared" si="39"/>
        <v>3300</v>
      </c>
      <c r="F56" s="7">
        <f t="shared" ref="F56:F57" si="41">+25000</f>
        <v>25000</v>
      </c>
      <c r="G56" s="7"/>
      <c r="H56" s="7">
        <f t="shared" ref="H56:H57" si="42">+25000</f>
        <v>25000</v>
      </c>
      <c r="I56" s="7"/>
      <c r="J56" s="7"/>
      <c r="K56" s="7"/>
      <c r="L56" s="7"/>
      <c r="M56" s="7"/>
      <c r="N56" s="7"/>
    </row>
    <row r="57">
      <c r="A57" s="1" t="s">
        <v>47</v>
      </c>
      <c r="B57" s="9" t="s">
        <v>4</v>
      </c>
      <c r="C57" s="13" t="s">
        <v>185</v>
      </c>
      <c r="D57" s="7">
        <f t="shared" ref="D57:E57" si="40">+6600</f>
        <v>6600</v>
      </c>
      <c r="E57" s="7">
        <f t="shared" si="40"/>
        <v>6600</v>
      </c>
      <c r="F57" s="7">
        <f t="shared" si="41"/>
        <v>25000</v>
      </c>
      <c r="G57" s="7"/>
      <c r="H57" s="7">
        <f t="shared" si="42"/>
        <v>25000</v>
      </c>
      <c r="I57" s="7"/>
      <c r="J57" s="7"/>
      <c r="K57" s="7"/>
      <c r="L57" s="7"/>
      <c r="M57" s="7"/>
      <c r="N57" s="7"/>
    </row>
    <row r="58">
      <c r="A58" s="1" t="s">
        <v>47</v>
      </c>
      <c r="B58" s="9" t="s">
        <v>4</v>
      </c>
      <c r="C58" s="13" t="s">
        <v>186</v>
      </c>
      <c r="D58" s="7">
        <f t="shared" ref="D58:D59" si="43">+10000</f>
        <v>10000</v>
      </c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1" t="s">
        <v>47</v>
      </c>
      <c r="B59" s="9" t="s">
        <v>4</v>
      </c>
      <c r="C59" s="13" t="s">
        <v>187</v>
      </c>
      <c r="D59" s="7">
        <f t="shared" si="43"/>
        <v>10000</v>
      </c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1" t="s">
        <v>47</v>
      </c>
      <c r="B60" s="9" t="s">
        <v>4</v>
      </c>
      <c r="C60" s="13" t="s">
        <v>188</v>
      </c>
      <c r="D60" s="7">
        <f t="shared" ref="D60:D63" si="44">+25000</f>
        <v>25000</v>
      </c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1" t="s">
        <v>47</v>
      </c>
      <c r="B61" s="9" t="s">
        <v>4</v>
      </c>
      <c r="C61" s="13" t="s">
        <v>189</v>
      </c>
      <c r="D61" s="7">
        <f t="shared" si="44"/>
        <v>25000</v>
      </c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1" t="s">
        <v>47</v>
      </c>
      <c r="B62" s="9" t="s">
        <v>4</v>
      </c>
      <c r="C62" s="13" t="s">
        <v>190</v>
      </c>
      <c r="D62" s="7">
        <f t="shared" si="44"/>
        <v>25000</v>
      </c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1" t="s">
        <v>47</v>
      </c>
      <c r="B63" s="9" t="s">
        <v>4</v>
      </c>
      <c r="C63" s="13" t="s">
        <v>191</v>
      </c>
      <c r="D63" s="7">
        <f t="shared" si="44"/>
        <v>25000</v>
      </c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B64" s="9"/>
      <c r="C64" s="3" t="s">
        <v>2</v>
      </c>
      <c r="D64" s="10">
        <v>45823.0</v>
      </c>
      <c r="E64" s="10">
        <v>45874.0</v>
      </c>
      <c r="F64" s="10">
        <v>45931.0</v>
      </c>
      <c r="G64" s="10">
        <v>45962.0</v>
      </c>
      <c r="H64" s="10">
        <v>45992.0</v>
      </c>
      <c r="I64" s="10">
        <v>45658.0</v>
      </c>
      <c r="J64" s="10">
        <v>45689.0</v>
      </c>
      <c r="K64" s="10">
        <v>45717.0</v>
      </c>
      <c r="L64" s="10">
        <v>45748.0</v>
      </c>
      <c r="M64" s="11">
        <v>45778.0</v>
      </c>
      <c r="N64" s="12"/>
    </row>
    <row r="65">
      <c r="A65" s="1" t="s">
        <v>68</v>
      </c>
      <c r="B65" s="9" t="s">
        <v>4</v>
      </c>
      <c r="C65" s="13" t="s">
        <v>192</v>
      </c>
      <c r="D65" s="7">
        <f>+300</f>
        <v>300</v>
      </c>
      <c r="E65" s="7">
        <f>+275</f>
        <v>275</v>
      </c>
      <c r="F65" s="7">
        <f>+200</f>
        <v>200</v>
      </c>
      <c r="G65" s="7">
        <f>+225</f>
        <v>225</v>
      </c>
      <c r="H65" s="7">
        <f>+175</f>
        <v>175</v>
      </c>
      <c r="I65" s="8">
        <v>-120.0</v>
      </c>
      <c r="J65" s="8">
        <v>-150.0</v>
      </c>
      <c r="K65" s="8">
        <v>-275.0</v>
      </c>
      <c r="L65" s="8">
        <v>-250.0</v>
      </c>
      <c r="M65" s="8">
        <v>-5000.0</v>
      </c>
      <c r="N65" s="8" t="s">
        <v>152</v>
      </c>
    </row>
    <row r="66">
      <c r="A66" s="1" t="s">
        <v>68</v>
      </c>
      <c r="B66" s="9" t="s">
        <v>4</v>
      </c>
      <c r="C66" s="13" t="s">
        <v>193</v>
      </c>
      <c r="D66" s="7">
        <f>+240</f>
        <v>240</v>
      </c>
      <c r="E66" s="7">
        <f>+200</f>
        <v>200</v>
      </c>
      <c r="F66" s="7">
        <f>+450</f>
        <v>450</v>
      </c>
      <c r="G66" s="7">
        <f>+275</f>
        <v>275</v>
      </c>
      <c r="H66" s="7">
        <f>+450</f>
        <v>450</v>
      </c>
      <c r="I66" s="7">
        <f>+400</f>
        <v>400</v>
      </c>
      <c r="J66" s="7">
        <f t="shared" ref="J66:J67" si="45">+350</f>
        <v>350</v>
      </c>
      <c r="K66" s="7">
        <f>+175</f>
        <v>175</v>
      </c>
      <c r="L66" s="7">
        <f>+275</f>
        <v>275</v>
      </c>
      <c r="M66" s="8">
        <v>-190.0</v>
      </c>
      <c r="N66" s="8" t="s">
        <v>152</v>
      </c>
    </row>
    <row r="67">
      <c r="A67" s="1" t="s">
        <v>68</v>
      </c>
      <c r="B67" s="9" t="s">
        <v>4</v>
      </c>
      <c r="C67" s="13" t="s">
        <v>194</v>
      </c>
      <c r="D67" s="7">
        <f>+1400</f>
        <v>1400</v>
      </c>
      <c r="E67" s="7">
        <f>+1100</f>
        <v>1100</v>
      </c>
      <c r="F67" s="7">
        <f>+250</f>
        <v>250</v>
      </c>
      <c r="G67" s="7">
        <f>+350</f>
        <v>350</v>
      </c>
      <c r="H67" s="7">
        <f>+1000</f>
        <v>1000</v>
      </c>
      <c r="I67" s="7">
        <f>+800</f>
        <v>800</v>
      </c>
      <c r="J67" s="7">
        <f t="shared" si="45"/>
        <v>350</v>
      </c>
      <c r="K67" s="7">
        <f>+600</f>
        <v>600</v>
      </c>
      <c r="L67" s="7">
        <f>+300</f>
        <v>300</v>
      </c>
      <c r="M67" s="7">
        <f>+175</f>
        <v>175</v>
      </c>
      <c r="N67" s="8" t="s">
        <v>152</v>
      </c>
    </row>
    <row r="68">
      <c r="A68" s="1" t="s">
        <v>68</v>
      </c>
      <c r="B68" s="9" t="s">
        <v>4</v>
      </c>
      <c r="C68" s="13" t="s">
        <v>195</v>
      </c>
      <c r="D68" s="7">
        <f>+500</f>
        <v>500</v>
      </c>
      <c r="E68" s="7">
        <f>+333</f>
        <v>333</v>
      </c>
      <c r="F68" s="7">
        <f t="shared" ref="F68:G68" si="46">+450</f>
        <v>450</v>
      </c>
      <c r="G68" s="7">
        <f t="shared" si="46"/>
        <v>450</v>
      </c>
      <c r="H68" s="7">
        <f>+165</f>
        <v>165</v>
      </c>
      <c r="I68" s="7">
        <f>+150</f>
        <v>150</v>
      </c>
      <c r="J68" s="8">
        <v>-165.0</v>
      </c>
      <c r="K68" s="7">
        <f>+120</f>
        <v>120</v>
      </c>
      <c r="L68" s="7">
        <f>+150</f>
        <v>150</v>
      </c>
      <c r="M68" s="8">
        <v>-150.0</v>
      </c>
      <c r="N68" s="7"/>
    </row>
    <row r="69">
      <c r="A69" s="1" t="s">
        <v>68</v>
      </c>
      <c r="B69" s="9" t="s">
        <v>4</v>
      </c>
      <c r="C69" s="13" t="s">
        <v>196</v>
      </c>
      <c r="D69" s="8">
        <v>-125.0</v>
      </c>
      <c r="E69" s="7">
        <f>+125</f>
        <v>125</v>
      </c>
      <c r="F69" s="8">
        <v>-250.0</v>
      </c>
      <c r="G69" s="8">
        <v>-250.0</v>
      </c>
      <c r="H69" s="8">
        <v>-175.0</v>
      </c>
      <c r="I69" s="8">
        <v>-175.0</v>
      </c>
      <c r="J69" s="7">
        <f>+275</f>
        <v>275</v>
      </c>
      <c r="K69" s="7">
        <f>+200</f>
        <v>200</v>
      </c>
      <c r="L69" s="7">
        <f>+100</f>
        <v>100</v>
      </c>
      <c r="M69" s="8">
        <v>-125.0</v>
      </c>
      <c r="N69" s="7"/>
    </row>
    <row r="70">
      <c r="A70" s="1" t="s">
        <v>68</v>
      </c>
      <c r="B70" s="9" t="s">
        <v>4</v>
      </c>
      <c r="C70" s="13" t="s">
        <v>197</v>
      </c>
      <c r="D70" s="7">
        <f>+1600</f>
        <v>1600</v>
      </c>
      <c r="E70" s="7">
        <f>+2000</f>
        <v>2000</v>
      </c>
      <c r="F70" s="7">
        <f>+1200</f>
        <v>1200</v>
      </c>
      <c r="G70" s="7">
        <f>+2000</f>
        <v>2000</v>
      </c>
      <c r="H70" s="7">
        <f>+900</f>
        <v>900</v>
      </c>
      <c r="I70" s="7">
        <f>+650</f>
        <v>650</v>
      </c>
      <c r="J70" s="7">
        <f>+550</f>
        <v>550</v>
      </c>
      <c r="K70" s="7">
        <f>+600</f>
        <v>600</v>
      </c>
      <c r="L70" s="7">
        <f>+400</f>
        <v>400</v>
      </c>
      <c r="M70" s="7">
        <f>+2500</f>
        <v>2500</v>
      </c>
      <c r="N70" s="7"/>
    </row>
    <row r="71">
      <c r="A71" s="1" t="s">
        <v>68</v>
      </c>
      <c r="B71" s="9" t="s">
        <v>4</v>
      </c>
      <c r="C71" s="13" t="s">
        <v>198</v>
      </c>
      <c r="D71" s="7">
        <f t="shared" ref="D71:E71" si="47">+500</f>
        <v>500</v>
      </c>
      <c r="E71" s="7">
        <f t="shared" si="47"/>
        <v>500</v>
      </c>
      <c r="F71" s="7">
        <f>+250</f>
        <v>250</v>
      </c>
      <c r="G71" s="7">
        <f>+138</f>
        <v>138</v>
      </c>
      <c r="H71" s="8">
        <v>-110.0</v>
      </c>
      <c r="I71" s="7">
        <f>+160</f>
        <v>160</v>
      </c>
      <c r="J71" s="7">
        <f>+225</f>
        <v>225</v>
      </c>
      <c r="K71" s="7">
        <f>+350</f>
        <v>350</v>
      </c>
      <c r="L71" s="7">
        <f>+300</f>
        <v>300</v>
      </c>
      <c r="M71" s="7">
        <f>+10000</f>
        <v>10000</v>
      </c>
      <c r="N71" s="7"/>
    </row>
    <row r="72">
      <c r="A72" s="1" t="s">
        <v>68</v>
      </c>
      <c r="B72" s="9" t="s">
        <v>4</v>
      </c>
      <c r="C72" s="13" t="s">
        <v>199</v>
      </c>
      <c r="D72" s="8">
        <v>-150.0</v>
      </c>
      <c r="E72" s="8">
        <v>-225.0</v>
      </c>
      <c r="F72" s="8">
        <v>-175.0</v>
      </c>
      <c r="G72" s="8">
        <v>-200.0</v>
      </c>
      <c r="H72" s="8">
        <v>-175.0</v>
      </c>
      <c r="I72" s="8">
        <v>-225.0</v>
      </c>
      <c r="J72" s="8">
        <v>-350.0</v>
      </c>
      <c r="K72" s="8">
        <v>-300.0</v>
      </c>
      <c r="L72" s="8">
        <v>-200.0</v>
      </c>
      <c r="M72" s="7">
        <f>+15000</f>
        <v>15000</v>
      </c>
      <c r="N72" s="7"/>
    </row>
    <row r="73">
      <c r="A73" s="1" t="s">
        <v>68</v>
      </c>
      <c r="B73" s="9" t="s">
        <v>4</v>
      </c>
      <c r="C73" s="13" t="s">
        <v>200</v>
      </c>
      <c r="D73" s="7">
        <f>+450</f>
        <v>450</v>
      </c>
      <c r="E73" s="7">
        <f>+650</f>
        <v>650</v>
      </c>
      <c r="F73" s="7">
        <f>+700</f>
        <v>700</v>
      </c>
      <c r="G73" s="7">
        <f>+1400</f>
        <v>1400</v>
      </c>
      <c r="H73" s="7">
        <f>+1600</f>
        <v>1600</v>
      </c>
      <c r="I73" s="7">
        <f t="shared" ref="I73:I74" si="48">+2000</f>
        <v>2000</v>
      </c>
      <c r="J73" s="7">
        <f>+1400</f>
        <v>1400</v>
      </c>
      <c r="K73" s="7">
        <f>+800</f>
        <v>800</v>
      </c>
      <c r="L73" s="7">
        <f>+550</f>
        <v>550</v>
      </c>
      <c r="M73" s="7"/>
      <c r="N73" s="7"/>
    </row>
    <row r="74">
      <c r="A74" s="1" t="s">
        <v>68</v>
      </c>
      <c r="B74" s="9" t="s">
        <v>4</v>
      </c>
      <c r="C74" s="13" t="s">
        <v>201</v>
      </c>
      <c r="D74" s="7">
        <f>+240</f>
        <v>240</v>
      </c>
      <c r="E74" s="7">
        <f>+275</f>
        <v>275</v>
      </c>
      <c r="F74" s="7">
        <f>+550</f>
        <v>550</v>
      </c>
      <c r="G74" s="7">
        <f>+600</f>
        <v>600</v>
      </c>
      <c r="H74" s="7">
        <f>+1200</f>
        <v>1200</v>
      </c>
      <c r="I74" s="7">
        <f t="shared" si="48"/>
        <v>2000</v>
      </c>
      <c r="J74" s="7">
        <f>+6600</f>
        <v>6600</v>
      </c>
      <c r="K74" s="7"/>
      <c r="L74" s="7">
        <f>+10000</f>
        <v>10000</v>
      </c>
      <c r="M74" s="7"/>
      <c r="N74" s="7"/>
    </row>
    <row r="75">
      <c r="A75" s="1" t="s">
        <v>68</v>
      </c>
      <c r="B75" s="9" t="s">
        <v>4</v>
      </c>
      <c r="C75" s="13" t="s">
        <v>202</v>
      </c>
      <c r="D75" s="7">
        <f>+900</f>
        <v>900</v>
      </c>
      <c r="E75" s="7">
        <f>+1600</f>
        <v>1600</v>
      </c>
      <c r="F75" s="7">
        <f>+650</f>
        <v>650</v>
      </c>
      <c r="G75" s="7">
        <f>+500</f>
        <v>500</v>
      </c>
      <c r="H75" s="7">
        <f t="shared" ref="H75:H76" si="50">+800</f>
        <v>800</v>
      </c>
      <c r="I75" s="7">
        <f>+1400</f>
        <v>1400</v>
      </c>
      <c r="J75" s="7">
        <f t="shared" ref="J75:K75" si="49">+5000</f>
        <v>5000</v>
      </c>
      <c r="K75" s="7">
        <f t="shared" si="49"/>
        <v>5000</v>
      </c>
      <c r="L75" s="7"/>
      <c r="M75" s="7"/>
      <c r="N75" s="7"/>
    </row>
    <row r="76">
      <c r="A76" s="1" t="s">
        <v>68</v>
      </c>
      <c r="B76" s="9" t="s">
        <v>4</v>
      </c>
      <c r="C76" s="13" t="s">
        <v>203</v>
      </c>
      <c r="D76" s="7">
        <f>+110</f>
        <v>110</v>
      </c>
      <c r="E76" s="7">
        <f>+150</f>
        <v>150</v>
      </c>
      <c r="F76" s="7">
        <f>+500</f>
        <v>500</v>
      </c>
      <c r="G76" s="7">
        <f>+700</f>
        <v>700</v>
      </c>
      <c r="H76" s="7">
        <f t="shared" si="50"/>
        <v>800</v>
      </c>
      <c r="I76" s="7">
        <f>+2000</f>
        <v>2000</v>
      </c>
      <c r="J76" s="7">
        <f>+10000</f>
        <v>10000</v>
      </c>
      <c r="K76" s="7"/>
      <c r="L76" s="7"/>
      <c r="M76" s="7"/>
      <c r="N76" s="7"/>
    </row>
    <row r="77">
      <c r="A77" s="1" t="s">
        <v>68</v>
      </c>
      <c r="B77" s="9" t="s">
        <v>4</v>
      </c>
      <c r="C77" s="13" t="s">
        <v>204</v>
      </c>
      <c r="D77" s="7">
        <f>+900</f>
        <v>900</v>
      </c>
      <c r="E77" s="7">
        <f>+800</f>
        <v>800</v>
      </c>
      <c r="F77" s="7">
        <f t="shared" ref="F77:G77" si="51">+3300</f>
        <v>3300</v>
      </c>
      <c r="G77" s="7">
        <f t="shared" si="51"/>
        <v>3300</v>
      </c>
      <c r="H77" s="7">
        <f>+5000</f>
        <v>5000</v>
      </c>
      <c r="I77" s="7">
        <f>+20000</f>
        <v>20000</v>
      </c>
      <c r="J77" s="7"/>
      <c r="K77" s="7"/>
      <c r="L77" s="7"/>
      <c r="M77" s="7"/>
      <c r="N77" s="7"/>
    </row>
    <row r="78">
      <c r="A78" s="1" t="s">
        <v>68</v>
      </c>
      <c r="B78" s="9" t="s">
        <v>4</v>
      </c>
      <c r="C78" s="13" t="s">
        <v>205</v>
      </c>
      <c r="D78" s="7">
        <f>+2000</f>
        <v>2000</v>
      </c>
      <c r="E78" s="7">
        <f>+2500</f>
        <v>2500</v>
      </c>
      <c r="F78" s="7">
        <f>+4000</f>
        <v>4000</v>
      </c>
      <c r="G78" s="7"/>
      <c r="H78" s="7"/>
      <c r="I78" s="7"/>
      <c r="J78" s="7"/>
      <c r="K78" s="7"/>
      <c r="L78" s="7"/>
      <c r="M78" s="7"/>
      <c r="N78" s="7"/>
    </row>
    <row r="79">
      <c r="B79" s="9"/>
      <c r="C79" s="3" t="s">
        <v>2</v>
      </c>
      <c r="D79" s="10">
        <v>45809.0</v>
      </c>
      <c r="E79" s="10">
        <v>45882.0</v>
      </c>
      <c r="F79" s="10">
        <v>45931.0</v>
      </c>
      <c r="G79" s="10">
        <v>45962.0</v>
      </c>
      <c r="H79" s="10">
        <v>45992.0</v>
      </c>
      <c r="I79" s="10">
        <v>45658.0</v>
      </c>
      <c r="J79" s="10">
        <v>45689.0</v>
      </c>
      <c r="K79" s="10">
        <v>45717.0</v>
      </c>
      <c r="L79" s="10">
        <v>45748.0</v>
      </c>
      <c r="M79" s="11">
        <v>45778.0</v>
      </c>
      <c r="N79" s="12"/>
    </row>
    <row r="80">
      <c r="A80" s="1" t="s">
        <v>89</v>
      </c>
      <c r="B80" s="9" t="s">
        <v>4</v>
      </c>
      <c r="C80" s="13" t="s">
        <v>206</v>
      </c>
      <c r="D80" s="7">
        <f>+250</f>
        <v>250</v>
      </c>
      <c r="E80" s="7">
        <f>+220</f>
        <v>220</v>
      </c>
      <c r="F80" s="7">
        <f>+120</f>
        <v>120</v>
      </c>
      <c r="G80" s="7">
        <f t="shared" ref="G80:H80" si="52">+110</f>
        <v>110</v>
      </c>
      <c r="H80" s="7">
        <f t="shared" si="52"/>
        <v>110</v>
      </c>
      <c r="I80" s="8">
        <v>-160.0</v>
      </c>
      <c r="J80" s="8">
        <v>-200.0</v>
      </c>
      <c r="K80" s="7">
        <f>+150</f>
        <v>150</v>
      </c>
      <c r="L80" s="8">
        <v>-185.0</v>
      </c>
      <c r="M80" s="7">
        <f>+225</f>
        <v>225</v>
      </c>
      <c r="N80" s="8" t="s">
        <v>152</v>
      </c>
    </row>
    <row r="81">
      <c r="A81" s="1" t="s">
        <v>89</v>
      </c>
      <c r="B81" s="9" t="s">
        <v>4</v>
      </c>
      <c r="C81" s="13" t="s">
        <v>207</v>
      </c>
      <c r="D81" s="8">
        <v>-110.0</v>
      </c>
      <c r="E81" s="8">
        <v>-110.0</v>
      </c>
      <c r="F81" s="8">
        <v>-400.0</v>
      </c>
      <c r="G81" s="8">
        <v>-1000.0</v>
      </c>
      <c r="H81" s="8">
        <v>-400.0</v>
      </c>
      <c r="I81" s="8">
        <v>-1600.0</v>
      </c>
      <c r="J81" s="8">
        <v>-400.0</v>
      </c>
      <c r="K81" s="8">
        <v>-1600.0</v>
      </c>
      <c r="L81" s="8">
        <v>-10000.0</v>
      </c>
      <c r="M81" s="7"/>
      <c r="N81" s="8" t="s">
        <v>152</v>
      </c>
    </row>
    <row r="82">
      <c r="A82" s="1" t="s">
        <v>89</v>
      </c>
      <c r="B82" s="9" t="s">
        <v>4</v>
      </c>
      <c r="C82" s="13" t="s">
        <v>208</v>
      </c>
      <c r="D82" s="7">
        <f t="shared" ref="D82:E82" si="53">+100</f>
        <v>100</v>
      </c>
      <c r="E82" s="7">
        <f t="shared" si="53"/>
        <v>100</v>
      </c>
      <c r="F82" s="7">
        <f>+120</f>
        <v>120</v>
      </c>
      <c r="G82" s="8">
        <v>-165.0</v>
      </c>
      <c r="H82" s="8">
        <v>-135.0</v>
      </c>
      <c r="I82" s="8">
        <v>-190.0</v>
      </c>
      <c r="J82" s="8">
        <v>-275.0</v>
      </c>
      <c r="K82" s="8">
        <v>-500.0</v>
      </c>
      <c r="L82" s="8">
        <v>-550.0</v>
      </c>
      <c r="M82" s="7"/>
      <c r="N82" s="8" t="s">
        <v>152</v>
      </c>
    </row>
    <row r="83">
      <c r="A83" s="1" t="s">
        <v>89</v>
      </c>
      <c r="B83" s="9" t="s">
        <v>4</v>
      </c>
      <c r="C83" s="13" t="s">
        <v>209</v>
      </c>
      <c r="D83" s="7">
        <f t="shared" ref="D83:E83" si="54">+800</f>
        <v>800</v>
      </c>
      <c r="E83" s="7">
        <f t="shared" si="54"/>
        <v>800</v>
      </c>
      <c r="F83" s="7">
        <f>+650</f>
        <v>650</v>
      </c>
      <c r="G83" s="7">
        <f>+500</f>
        <v>500</v>
      </c>
      <c r="H83" s="7">
        <f>+450</f>
        <v>450</v>
      </c>
      <c r="I83" s="7">
        <f>+500</f>
        <v>500</v>
      </c>
      <c r="J83" s="7">
        <f>+600</f>
        <v>600</v>
      </c>
      <c r="K83" s="7">
        <f>+160</f>
        <v>160</v>
      </c>
      <c r="L83" s="7">
        <f>+300</f>
        <v>300</v>
      </c>
      <c r="M83" s="7">
        <f>+130</f>
        <v>130</v>
      </c>
      <c r="N83" s="7"/>
    </row>
    <row r="84">
      <c r="A84" s="1" t="s">
        <v>89</v>
      </c>
      <c r="B84" s="9" t="s">
        <v>4</v>
      </c>
      <c r="C84" s="13" t="s">
        <v>210</v>
      </c>
      <c r="D84" s="7">
        <f t="shared" ref="D84:E84" si="55">+2000</f>
        <v>2000</v>
      </c>
      <c r="E84" s="7">
        <f t="shared" si="55"/>
        <v>2000</v>
      </c>
      <c r="F84" s="7">
        <f>+6600</f>
        <v>6600</v>
      </c>
      <c r="G84" s="7">
        <f>+2000</f>
        <v>2000</v>
      </c>
      <c r="H84" s="7">
        <f>+800</f>
        <v>800</v>
      </c>
      <c r="I84" s="7">
        <f t="shared" ref="I84:I85" si="56">+1000</f>
        <v>1000</v>
      </c>
      <c r="J84" s="7">
        <f>+450</f>
        <v>450</v>
      </c>
      <c r="K84" s="7">
        <f>+350</f>
        <v>350</v>
      </c>
      <c r="L84" s="7">
        <f>+225</f>
        <v>225</v>
      </c>
      <c r="M84" s="7">
        <f>+175</f>
        <v>175</v>
      </c>
      <c r="N84" s="7"/>
    </row>
    <row r="85">
      <c r="A85" s="1" t="s">
        <v>89</v>
      </c>
      <c r="B85" s="9" t="s">
        <v>4</v>
      </c>
      <c r="C85" s="13" t="s">
        <v>211</v>
      </c>
      <c r="D85" s="7">
        <f>+110</f>
        <v>110</v>
      </c>
      <c r="E85" s="7">
        <f>+125</f>
        <v>125</v>
      </c>
      <c r="F85" s="7">
        <f>+600</f>
        <v>600</v>
      </c>
      <c r="G85" s="7">
        <f>+650</f>
        <v>650</v>
      </c>
      <c r="H85" s="7">
        <f>+500</f>
        <v>500</v>
      </c>
      <c r="I85" s="7">
        <f t="shared" si="56"/>
        <v>1000</v>
      </c>
      <c r="J85" s="7">
        <f>+600</f>
        <v>600</v>
      </c>
      <c r="K85" s="7">
        <f>+200</f>
        <v>200</v>
      </c>
      <c r="L85" s="7">
        <f>+700</f>
        <v>700</v>
      </c>
      <c r="M85" s="7"/>
      <c r="N85" s="7"/>
    </row>
    <row r="86">
      <c r="A86" s="1" t="s">
        <v>89</v>
      </c>
      <c r="B86" s="9" t="s">
        <v>4</v>
      </c>
      <c r="C86" s="13" t="s">
        <v>212</v>
      </c>
      <c r="D86" s="7">
        <f t="shared" ref="D86:E86" si="57">+275</f>
        <v>275</v>
      </c>
      <c r="E86" s="7">
        <f t="shared" si="57"/>
        <v>275</v>
      </c>
      <c r="F86" s="8">
        <v>-110.0</v>
      </c>
      <c r="G86" s="7">
        <f>+120</f>
        <v>120</v>
      </c>
      <c r="H86" s="8">
        <v>-185.0</v>
      </c>
      <c r="I86" s="7">
        <f>+110</f>
        <v>110</v>
      </c>
      <c r="J86" s="7">
        <f>+130</f>
        <v>130</v>
      </c>
      <c r="K86" s="7">
        <f>+700</f>
        <v>700</v>
      </c>
      <c r="L86" s="7">
        <f>+2800</f>
        <v>2800</v>
      </c>
      <c r="M86" s="7"/>
      <c r="N86" s="7"/>
    </row>
    <row r="87">
      <c r="A87" s="1" t="s">
        <v>89</v>
      </c>
      <c r="B87" s="9" t="s">
        <v>4</v>
      </c>
      <c r="C87" s="13" t="s">
        <v>213</v>
      </c>
      <c r="D87" s="7">
        <f>+225</f>
        <v>225</v>
      </c>
      <c r="E87" s="7">
        <f>+160</f>
        <v>160</v>
      </c>
      <c r="F87" s="7">
        <f>+250</f>
        <v>250</v>
      </c>
      <c r="G87" s="7">
        <f>+650</f>
        <v>650</v>
      </c>
      <c r="H87" s="7">
        <f>+1000</f>
        <v>1000</v>
      </c>
      <c r="I87" s="7">
        <f>+1600</f>
        <v>1600</v>
      </c>
      <c r="J87" s="7">
        <f>+2500</f>
        <v>2500</v>
      </c>
      <c r="K87" s="7">
        <f>+3300</f>
        <v>3300</v>
      </c>
      <c r="L87" s="7"/>
      <c r="M87" s="7"/>
      <c r="N87" s="7"/>
    </row>
    <row r="88">
      <c r="A88" s="1" t="s">
        <v>89</v>
      </c>
      <c r="B88" s="9" t="s">
        <v>4</v>
      </c>
      <c r="C88" s="13" t="s">
        <v>214</v>
      </c>
      <c r="D88" s="7">
        <f t="shared" ref="D88:E88" si="58">+600</f>
        <v>600</v>
      </c>
      <c r="E88" s="7">
        <f t="shared" si="58"/>
        <v>600</v>
      </c>
      <c r="F88" s="7">
        <f>+2200</f>
        <v>2200</v>
      </c>
      <c r="G88" s="7">
        <f>+750</f>
        <v>750</v>
      </c>
      <c r="H88" s="7">
        <f>+1400</f>
        <v>1400</v>
      </c>
      <c r="I88" s="7">
        <f>+3300</f>
        <v>3300</v>
      </c>
      <c r="J88" s="7">
        <f t="shared" ref="J88:K88" si="59">+8000</f>
        <v>8000</v>
      </c>
      <c r="K88" s="7">
        <f t="shared" si="59"/>
        <v>8000</v>
      </c>
      <c r="L88" s="7"/>
      <c r="M88" s="7"/>
      <c r="N88" s="7"/>
    </row>
    <row r="89">
      <c r="A89" s="1" t="s">
        <v>89</v>
      </c>
      <c r="B89" s="9" t="s">
        <v>4</v>
      </c>
      <c r="C89" s="13" t="s">
        <v>215</v>
      </c>
      <c r="D89" s="7">
        <f t="shared" ref="D89:E89" si="60">+5000</f>
        <v>5000</v>
      </c>
      <c r="E89" s="7">
        <f t="shared" si="60"/>
        <v>5000</v>
      </c>
      <c r="F89" s="7">
        <f>+6600</f>
        <v>6600</v>
      </c>
      <c r="G89" s="7">
        <f>+10000</f>
        <v>10000</v>
      </c>
      <c r="H89" s="7">
        <f>+6600</f>
        <v>6600</v>
      </c>
      <c r="I89" s="7">
        <f>+10000</f>
        <v>10000</v>
      </c>
      <c r="J89" s="7">
        <f>+15000</f>
        <v>15000</v>
      </c>
      <c r="K89" s="7">
        <f>+8000</f>
        <v>8000</v>
      </c>
      <c r="L89" s="7"/>
      <c r="M89" s="7"/>
      <c r="N89" s="7"/>
    </row>
    <row r="90">
      <c r="A90" s="1" t="s">
        <v>89</v>
      </c>
      <c r="B90" s="9" t="s">
        <v>4</v>
      </c>
      <c r="C90" s="13" t="s">
        <v>216</v>
      </c>
      <c r="D90" s="7">
        <f t="shared" ref="D90:E90" si="61">+400</f>
        <v>400</v>
      </c>
      <c r="E90" s="7">
        <f t="shared" si="61"/>
        <v>400</v>
      </c>
      <c r="F90" s="7">
        <f>+350</f>
        <v>350</v>
      </c>
      <c r="G90" s="7">
        <f>+650</f>
        <v>650</v>
      </c>
      <c r="H90" s="7">
        <f>+800</f>
        <v>800</v>
      </c>
      <c r="I90" s="7">
        <f>+1200</f>
        <v>1200</v>
      </c>
      <c r="J90" s="7">
        <f>+1800</f>
        <v>1800</v>
      </c>
      <c r="K90" s="7"/>
      <c r="L90" s="7"/>
      <c r="M90" s="7"/>
      <c r="N90" s="7"/>
    </row>
    <row r="91">
      <c r="A91" s="1" t="s">
        <v>89</v>
      </c>
      <c r="B91" s="9" t="s">
        <v>4</v>
      </c>
      <c r="C91" s="13" t="s">
        <v>217</v>
      </c>
      <c r="D91" s="7">
        <f t="shared" ref="D91:E91" si="62">+550</f>
        <v>550</v>
      </c>
      <c r="E91" s="7">
        <f t="shared" si="62"/>
        <v>550</v>
      </c>
      <c r="F91" s="7">
        <f>+3300</f>
        <v>3300</v>
      </c>
      <c r="G91" s="7">
        <f>+2500</f>
        <v>2500</v>
      </c>
      <c r="H91" s="7">
        <f>+2200</f>
        <v>2200</v>
      </c>
      <c r="I91" s="7">
        <f>+6600</f>
        <v>6600</v>
      </c>
      <c r="J91" s="7">
        <f>+10000</f>
        <v>10000</v>
      </c>
      <c r="K91" s="7"/>
      <c r="L91" s="7"/>
      <c r="M91" s="7"/>
      <c r="N91" s="7"/>
    </row>
    <row r="92">
      <c r="A92" s="1" t="s">
        <v>89</v>
      </c>
      <c r="B92" s="9" t="s">
        <v>4</v>
      </c>
      <c r="C92" s="13" t="s">
        <v>218</v>
      </c>
      <c r="D92" s="7">
        <f t="shared" ref="D92:E92" si="63">+500</f>
        <v>500</v>
      </c>
      <c r="E92" s="7">
        <f t="shared" si="63"/>
        <v>500</v>
      </c>
      <c r="F92" s="7">
        <f>+700</f>
        <v>700</v>
      </c>
      <c r="G92" s="7">
        <f>+2200</f>
        <v>2200</v>
      </c>
      <c r="H92" s="7">
        <f>+2500</f>
        <v>2500</v>
      </c>
      <c r="I92" s="7">
        <f>+8000</f>
        <v>8000</v>
      </c>
      <c r="J92" s="7"/>
      <c r="K92" s="7"/>
      <c r="L92" s="7"/>
      <c r="M92" s="7"/>
      <c r="N92" s="7"/>
    </row>
    <row r="93">
      <c r="A93" s="1" t="s">
        <v>89</v>
      </c>
      <c r="B93" s="9" t="s">
        <v>4</v>
      </c>
      <c r="C93" s="13" t="s">
        <v>219</v>
      </c>
      <c r="D93" s="7">
        <f t="shared" ref="D93:E93" si="64">+5000</f>
        <v>5000</v>
      </c>
      <c r="E93" s="7">
        <f t="shared" si="64"/>
        <v>5000</v>
      </c>
      <c r="F93" s="7">
        <f>+12500</f>
        <v>12500</v>
      </c>
      <c r="G93" s="7">
        <f>+10000</f>
        <v>10000</v>
      </c>
      <c r="H93" s="7">
        <f>+20000</f>
        <v>20000</v>
      </c>
      <c r="I93" s="7"/>
      <c r="J93" s="7"/>
      <c r="K93" s="7"/>
      <c r="L93" s="7"/>
      <c r="M93" s="7"/>
      <c r="N93" s="7"/>
    </row>
    <row r="94">
      <c r="A94" s="1" t="s">
        <v>89</v>
      </c>
      <c r="B94" s="9" t="s">
        <v>4</v>
      </c>
      <c r="C94" s="13" t="s">
        <v>220</v>
      </c>
      <c r="D94" s="7">
        <f t="shared" ref="D94:E94" si="65">+4000</f>
        <v>4000</v>
      </c>
      <c r="E94" s="7">
        <f t="shared" si="65"/>
        <v>4000</v>
      </c>
      <c r="F94" s="7">
        <f>+8000</f>
        <v>8000</v>
      </c>
      <c r="G94" s="7">
        <f>+20000</f>
        <v>20000</v>
      </c>
      <c r="H94" s="7">
        <f t="shared" ref="H94:H95" si="66">+25000</f>
        <v>25000</v>
      </c>
      <c r="I94" s="7"/>
      <c r="J94" s="7"/>
      <c r="K94" s="7"/>
      <c r="L94" s="7"/>
      <c r="M94" s="7"/>
      <c r="N94" s="7"/>
    </row>
    <row r="95">
      <c r="A95" s="1" t="s">
        <v>89</v>
      </c>
      <c r="B95" s="9" t="s">
        <v>4</v>
      </c>
      <c r="C95" s="13" t="s">
        <v>221</v>
      </c>
      <c r="D95" s="7"/>
      <c r="E95" s="7"/>
      <c r="F95" s="7"/>
      <c r="G95" s="7"/>
      <c r="H95" s="7">
        <f t="shared" si="66"/>
        <v>25000</v>
      </c>
      <c r="I95" s="7"/>
      <c r="J95" s="7"/>
      <c r="K95" s="7"/>
      <c r="L95" s="7"/>
      <c r="M95" s="7"/>
      <c r="N95" s="7"/>
    </row>
    <row r="96">
      <c r="A96" s="1" t="s">
        <v>89</v>
      </c>
      <c r="B96" s="9" t="s">
        <v>4</v>
      </c>
      <c r="C96" s="13" t="s">
        <v>222</v>
      </c>
      <c r="D96" s="7">
        <f t="shared" ref="D96:E96" si="67">+800</f>
        <v>800</v>
      </c>
      <c r="E96" s="7">
        <f t="shared" si="67"/>
        <v>800</v>
      </c>
      <c r="F96" s="7">
        <f>+5000</f>
        <v>5000</v>
      </c>
      <c r="G96" s="7">
        <f>+15000</f>
        <v>15000</v>
      </c>
      <c r="H96" s="7">
        <f>+30000</f>
        <v>30000</v>
      </c>
      <c r="I96" s="7"/>
      <c r="J96" s="7"/>
      <c r="K96" s="7"/>
      <c r="L96" s="7"/>
      <c r="M96" s="7"/>
      <c r="N96" s="7"/>
    </row>
    <row r="97">
      <c r="B97" s="9"/>
      <c r="C97" s="3" t="s">
        <v>2</v>
      </c>
      <c r="D97" s="10">
        <v>45911.0</v>
      </c>
      <c r="E97" s="10">
        <v>45931.0</v>
      </c>
      <c r="F97" s="10">
        <v>45962.0</v>
      </c>
      <c r="G97" s="10">
        <v>45992.0</v>
      </c>
      <c r="H97" s="10">
        <v>45658.0</v>
      </c>
      <c r="I97" s="10">
        <v>45689.0</v>
      </c>
      <c r="J97" s="10">
        <v>45717.0</v>
      </c>
      <c r="K97" s="10">
        <v>45748.0</v>
      </c>
      <c r="L97" s="11">
        <v>45778.0</v>
      </c>
      <c r="M97" s="12"/>
    </row>
    <row r="98">
      <c r="A98" s="1" t="s">
        <v>110</v>
      </c>
      <c r="B98" s="9" t="s">
        <v>4</v>
      </c>
      <c r="C98" s="13" t="s">
        <v>223</v>
      </c>
      <c r="D98" s="7">
        <f>+100</f>
        <v>100</v>
      </c>
      <c r="E98" s="7"/>
      <c r="F98" s="7"/>
      <c r="G98" s="7"/>
      <c r="H98" s="8">
        <v>-150.0</v>
      </c>
      <c r="I98" s="8">
        <v>-176.0</v>
      </c>
      <c r="J98" s="8">
        <v>-120.0</v>
      </c>
      <c r="K98" s="7">
        <f>+120</f>
        <v>120</v>
      </c>
      <c r="L98" s="7"/>
      <c r="M98" s="8" t="s">
        <v>152</v>
      </c>
    </row>
    <row r="99">
      <c r="A99" s="1" t="s">
        <v>110</v>
      </c>
      <c r="B99" s="9" t="s">
        <v>4</v>
      </c>
      <c r="C99" s="13" t="s">
        <v>224</v>
      </c>
      <c r="D99" s="7">
        <f>+350</f>
        <v>350</v>
      </c>
      <c r="E99" s="7"/>
      <c r="F99" s="7"/>
      <c r="G99" s="7"/>
      <c r="H99" s="8">
        <v>-1429.0</v>
      </c>
      <c r="I99" s="8">
        <v>-1250.0</v>
      </c>
      <c r="J99" s="8">
        <v>-10000.0</v>
      </c>
      <c r="K99" s="7"/>
      <c r="L99" s="7"/>
      <c r="M99" s="8" t="s">
        <v>152</v>
      </c>
    </row>
    <row r="100">
      <c r="A100" s="1" t="s">
        <v>110</v>
      </c>
      <c r="B100" s="9" t="s">
        <v>4</v>
      </c>
      <c r="C100" s="13" t="s">
        <v>225</v>
      </c>
      <c r="D100" s="7">
        <f>+100</f>
        <v>100</v>
      </c>
      <c r="E100" s="7"/>
      <c r="F100" s="7"/>
      <c r="G100" s="7"/>
      <c r="H100" s="8">
        <v>-455.0</v>
      </c>
      <c r="I100" s="8">
        <v>-834.0</v>
      </c>
      <c r="J100" s="8">
        <v>-2000.0</v>
      </c>
      <c r="K100" s="7"/>
      <c r="L100" s="7"/>
      <c r="M100" s="8" t="s">
        <v>152</v>
      </c>
    </row>
    <row r="101">
      <c r="A101" s="1" t="s">
        <v>110</v>
      </c>
      <c r="B101" s="9" t="s">
        <v>4</v>
      </c>
      <c r="C101" s="13" t="s">
        <v>226</v>
      </c>
      <c r="D101" s="7">
        <f>+225</f>
        <v>225</v>
      </c>
      <c r="E101" s="7"/>
      <c r="F101" s="7"/>
      <c r="G101" s="7"/>
      <c r="H101" s="7">
        <f>+350</f>
        <v>350</v>
      </c>
      <c r="I101" s="7">
        <f>+250</f>
        <v>250</v>
      </c>
      <c r="J101" s="7">
        <f>+140</f>
        <v>140</v>
      </c>
      <c r="K101" s="8">
        <v>-145.0</v>
      </c>
      <c r="L101" s="7"/>
      <c r="M101" s="7"/>
    </row>
    <row r="102">
      <c r="A102" s="1" t="s">
        <v>110</v>
      </c>
      <c r="B102" s="9" t="s">
        <v>4</v>
      </c>
      <c r="C102" s="13" t="s">
        <v>227</v>
      </c>
      <c r="D102" s="7">
        <f t="shared" ref="D102:D103" si="69">+300</f>
        <v>300</v>
      </c>
      <c r="E102" s="7"/>
      <c r="F102" s="7"/>
      <c r="G102" s="7"/>
      <c r="H102" s="7">
        <f>+300</f>
        <v>300</v>
      </c>
      <c r="I102" s="7">
        <f t="shared" ref="I102:J102" si="68">+600</f>
        <v>600</v>
      </c>
      <c r="J102" s="7">
        <f t="shared" si="68"/>
        <v>600</v>
      </c>
      <c r="K102" s="7">
        <f>+1600</f>
        <v>1600</v>
      </c>
      <c r="L102" s="7"/>
      <c r="M102" s="7"/>
    </row>
    <row r="103">
      <c r="A103" s="1" t="s">
        <v>110</v>
      </c>
      <c r="B103" s="9" t="s">
        <v>4</v>
      </c>
      <c r="C103" s="13" t="s">
        <v>228</v>
      </c>
      <c r="D103" s="7">
        <f t="shared" si="69"/>
        <v>300</v>
      </c>
      <c r="E103" s="7"/>
      <c r="F103" s="7"/>
      <c r="G103" s="7"/>
      <c r="H103" s="7">
        <f>+350</f>
        <v>350</v>
      </c>
      <c r="I103" s="7">
        <f>+450</f>
        <v>450</v>
      </c>
      <c r="J103" s="7">
        <f>+700</f>
        <v>700</v>
      </c>
      <c r="K103" s="7">
        <f>+2000</f>
        <v>2000</v>
      </c>
      <c r="L103" s="7"/>
      <c r="M103" s="7"/>
    </row>
    <row r="104">
      <c r="A104" s="1" t="s">
        <v>110</v>
      </c>
      <c r="B104" s="9" t="s">
        <v>4</v>
      </c>
      <c r="C104" s="13" t="s">
        <v>229</v>
      </c>
      <c r="D104" s="7">
        <f>+225</f>
        <v>225</v>
      </c>
      <c r="E104" s="7"/>
      <c r="F104" s="7"/>
      <c r="G104" s="7"/>
      <c r="H104" s="7">
        <f>+500</f>
        <v>500</v>
      </c>
      <c r="I104" s="7">
        <f>+1600</f>
        <v>1600</v>
      </c>
      <c r="J104" s="7">
        <f>+2200</f>
        <v>2200</v>
      </c>
      <c r="K104" s="7">
        <f>+8000</f>
        <v>8000</v>
      </c>
      <c r="L104" s="7"/>
      <c r="M104" s="7"/>
    </row>
    <row r="105">
      <c r="A105" s="1" t="s">
        <v>110</v>
      </c>
      <c r="B105" s="9" t="s">
        <v>4</v>
      </c>
      <c r="C105" s="13" t="s">
        <v>230</v>
      </c>
      <c r="D105" s="7">
        <f>+4000</f>
        <v>4000</v>
      </c>
      <c r="E105" s="7"/>
      <c r="F105" s="7"/>
      <c r="G105" s="7"/>
      <c r="H105" s="7">
        <f>+5000</f>
        <v>5000</v>
      </c>
      <c r="I105" s="7">
        <f>+2000</f>
        <v>2000</v>
      </c>
      <c r="J105" s="7">
        <f t="shared" ref="J105:J106" si="71">+20000</f>
        <v>20000</v>
      </c>
      <c r="K105" s="7"/>
      <c r="L105" s="7"/>
      <c r="M105" s="7"/>
    </row>
    <row r="106">
      <c r="A106" s="1" t="s">
        <v>110</v>
      </c>
      <c r="B106" s="9" t="s">
        <v>4</v>
      </c>
      <c r="C106" s="13" t="s">
        <v>231</v>
      </c>
      <c r="D106" s="7">
        <f>+350</f>
        <v>350</v>
      </c>
      <c r="E106" s="7"/>
      <c r="F106" s="7"/>
      <c r="G106" s="7"/>
      <c r="H106" s="7">
        <f t="shared" ref="H106:I106" si="70">+3300</f>
        <v>3300</v>
      </c>
      <c r="I106" s="7">
        <f t="shared" si="70"/>
        <v>3300</v>
      </c>
      <c r="J106" s="7">
        <f t="shared" si="71"/>
        <v>20000</v>
      </c>
      <c r="K106" s="7"/>
      <c r="L106" s="7"/>
      <c r="M106" s="7"/>
    </row>
    <row r="107">
      <c r="A107" s="1" t="s">
        <v>110</v>
      </c>
      <c r="B107" s="9" t="s">
        <v>4</v>
      </c>
      <c r="C107" s="13" t="s">
        <v>232</v>
      </c>
      <c r="D107" s="7">
        <f>+400</f>
        <v>400</v>
      </c>
      <c r="E107" s="7"/>
      <c r="F107" s="7"/>
      <c r="G107" s="7"/>
      <c r="H107" s="7">
        <f>+5000</f>
        <v>5000</v>
      </c>
      <c r="I107" s="7">
        <f>+50000</f>
        <v>50000</v>
      </c>
      <c r="J107" s="7"/>
      <c r="K107" s="7"/>
      <c r="L107" s="7"/>
      <c r="M107" s="7"/>
    </row>
    <row r="108">
      <c r="A108" s="1" t="s">
        <v>110</v>
      </c>
      <c r="B108" s="9" t="s">
        <v>4</v>
      </c>
      <c r="C108" s="13" t="s">
        <v>233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>
      <c r="A109" s="1" t="s">
        <v>110</v>
      </c>
      <c r="B109" s="9" t="s">
        <v>4</v>
      </c>
      <c r="C109" s="13" t="s">
        <v>234</v>
      </c>
      <c r="D109" s="7">
        <f>+175</f>
        <v>175</v>
      </c>
      <c r="E109" s="7"/>
      <c r="F109" s="7"/>
      <c r="G109" s="7"/>
      <c r="H109" s="7"/>
      <c r="I109" s="7"/>
      <c r="J109" s="7"/>
      <c r="K109" s="7"/>
      <c r="L109" s="7"/>
      <c r="M109" s="7"/>
    </row>
    <row r="110">
      <c r="A110" s="1" t="s">
        <v>110</v>
      </c>
      <c r="B110" s="9" t="s">
        <v>4</v>
      </c>
      <c r="C110" s="13" t="s">
        <v>235</v>
      </c>
      <c r="D110" s="7">
        <f>+2200</f>
        <v>2200</v>
      </c>
      <c r="E110" s="7"/>
      <c r="F110" s="7"/>
      <c r="G110" s="7"/>
      <c r="H110" s="7"/>
      <c r="I110" s="7"/>
      <c r="J110" s="7"/>
      <c r="K110" s="7"/>
      <c r="L110" s="7"/>
      <c r="M110" s="7"/>
    </row>
    <row r="111">
      <c r="A111" s="1" t="s">
        <v>110</v>
      </c>
      <c r="B111" s="9" t="s">
        <v>4</v>
      </c>
      <c r="C111" s="13" t="s">
        <v>236</v>
      </c>
      <c r="D111" s="7">
        <f>+4000</f>
        <v>4000</v>
      </c>
      <c r="E111" s="7"/>
      <c r="F111" s="7"/>
      <c r="G111" s="7"/>
      <c r="H111" s="7"/>
      <c r="I111" s="7"/>
      <c r="J111" s="7"/>
      <c r="K111" s="7"/>
      <c r="L111" s="7"/>
      <c r="M111" s="7"/>
    </row>
    <row r="112">
      <c r="B112" s="9"/>
      <c r="C112" s="3" t="s">
        <v>2</v>
      </c>
      <c r="D112" s="10">
        <v>45842.0</v>
      </c>
      <c r="E112" s="10">
        <v>45878.0</v>
      </c>
      <c r="F112" s="10">
        <v>45931.0</v>
      </c>
      <c r="G112" s="10">
        <v>45962.0</v>
      </c>
      <c r="H112" s="10">
        <v>45992.0</v>
      </c>
      <c r="I112" s="10">
        <v>45658.0</v>
      </c>
      <c r="J112" s="10">
        <v>45689.0</v>
      </c>
      <c r="K112" s="10">
        <v>45717.0</v>
      </c>
      <c r="L112" s="10">
        <v>45748.0</v>
      </c>
      <c r="M112" s="11">
        <v>45778.0</v>
      </c>
      <c r="N112" s="12"/>
    </row>
    <row r="113">
      <c r="A113" s="1" t="s">
        <v>237</v>
      </c>
      <c r="B113" s="9" t="s">
        <v>4</v>
      </c>
      <c r="C113" s="13" t="s">
        <v>238</v>
      </c>
      <c r="D113" s="7">
        <f>+100</f>
        <v>100</v>
      </c>
      <c r="E113" s="8">
        <v>-105.0</v>
      </c>
      <c r="F113" s="7">
        <f>+170</f>
        <v>170</v>
      </c>
      <c r="G113" s="8">
        <v>-160.0</v>
      </c>
      <c r="H113" s="8">
        <v>-105.0</v>
      </c>
      <c r="I113" s="8">
        <v>-1000.0</v>
      </c>
      <c r="J113" s="8">
        <v>-1200.0</v>
      </c>
      <c r="K113" s="8">
        <v>-1000.0</v>
      </c>
      <c r="L113" s="7"/>
      <c r="M113" s="7"/>
      <c r="N113" s="8" t="s">
        <v>152</v>
      </c>
    </row>
    <row r="114">
      <c r="A114" s="1" t="s">
        <v>237</v>
      </c>
      <c r="B114" s="9" t="s">
        <v>4</v>
      </c>
      <c r="C114" s="13" t="s">
        <v>239</v>
      </c>
      <c r="D114" s="7">
        <f>+450</f>
        <v>450</v>
      </c>
      <c r="E114" s="7">
        <f>+500</f>
        <v>500</v>
      </c>
      <c r="F114" s="7">
        <f>+750</f>
        <v>750</v>
      </c>
      <c r="G114" s="7">
        <f>+700</f>
        <v>700</v>
      </c>
      <c r="H114" s="7">
        <f>+500</f>
        <v>500</v>
      </c>
      <c r="I114" s="7">
        <f>+145</f>
        <v>145</v>
      </c>
      <c r="J114" s="8">
        <v>-120.0</v>
      </c>
      <c r="K114" s="8">
        <v>-125.0</v>
      </c>
      <c r="L114" s="7"/>
      <c r="M114" s="7"/>
      <c r="N114" s="8" t="s">
        <v>152</v>
      </c>
    </row>
    <row r="115">
      <c r="A115" s="1" t="s">
        <v>237</v>
      </c>
      <c r="B115" s="9" t="s">
        <v>4</v>
      </c>
      <c r="C115" s="13" t="s">
        <v>240</v>
      </c>
      <c r="D115" s="7">
        <f t="shared" ref="D115:E115" si="72">+600</f>
        <v>600</v>
      </c>
      <c r="E115" s="7">
        <f t="shared" si="72"/>
        <v>600</v>
      </c>
      <c r="F115" s="7">
        <f>+175</f>
        <v>175</v>
      </c>
      <c r="G115" s="8">
        <v>-110.0</v>
      </c>
      <c r="H115" s="7">
        <f>+600</f>
        <v>600</v>
      </c>
      <c r="I115" s="7">
        <f>+155</f>
        <v>155</v>
      </c>
      <c r="J115" s="7">
        <f>+200</f>
        <v>200</v>
      </c>
      <c r="K115" s="7">
        <f>+330</f>
        <v>330</v>
      </c>
      <c r="L115" s="7"/>
      <c r="M115" s="7"/>
      <c r="N115" s="8" t="s">
        <v>152</v>
      </c>
    </row>
    <row r="116">
      <c r="A116" s="1" t="s">
        <v>237</v>
      </c>
      <c r="B116" s="9" t="s">
        <v>4</v>
      </c>
      <c r="C116" s="13" t="s">
        <v>241</v>
      </c>
      <c r="D116" s="7">
        <f>+190</f>
        <v>190</v>
      </c>
      <c r="E116" s="7">
        <f>+250</f>
        <v>250</v>
      </c>
      <c r="F116" s="7">
        <f>+145</f>
        <v>145</v>
      </c>
      <c r="G116" s="7">
        <f t="shared" ref="G116:H116" si="73">+250</f>
        <v>250</v>
      </c>
      <c r="H116" s="7">
        <f t="shared" si="73"/>
        <v>250</v>
      </c>
      <c r="I116" s="8">
        <v>-115.0</v>
      </c>
      <c r="J116" s="7">
        <f>+110</f>
        <v>110</v>
      </c>
      <c r="K116" s="8">
        <v>-175.0</v>
      </c>
      <c r="L116" s="7"/>
      <c r="M116" s="7"/>
      <c r="N116" s="7"/>
    </row>
    <row r="117">
      <c r="A117" s="1" t="s">
        <v>237</v>
      </c>
      <c r="B117" s="9" t="s">
        <v>4</v>
      </c>
      <c r="C117" s="13" t="s">
        <v>242</v>
      </c>
      <c r="D117" s="7">
        <f>+1200</f>
        <v>1200</v>
      </c>
      <c r="E117" s="7">
        <f>+1150</f>
        <v>1150</v>
      </c>
      <c r="F117" s="7">
        <f>+2000</f>
        <v>2000</v>
      </c>
      <c r="G117" s="7">
        <f>+1300</f>
        <v>1300</v>
      </c>
      <c r="H117" s="7">
        <f>+1150</f>
        <v>1150</v>
      </c>
      <c r="I117" s="7">
        <f>+425</f>
        <v>425</v>
      </c>
      <c r="J117" s="7">
        <f>+150</f>
        <v>150</v>
      </c>
      <c r="K117" s="7">
        <f>+200</f>
        <v>200</v>
      </c>
      <c r="L117" s="7"/>
      <c r="M117" s="7"/>
      <c r="N117" s="7"/>
    </row>
    <row r="118">
      <c r="A118" s="1" t="s">
        <v>237</v>
      </c>
      <c r="B118" s="9" t="s">
        <v>4</v>
      </c>
      <c r="C118" s="13" t="s">
        <v>243</v>
      </c>
      <c r="D118" s="7">
        <f>+200</f>
        <v>200</v>
      </c>
      <c r="E118" s="7">
        <f>+180</f>
        <v>180</v>
      </c>
      <c r="F118" s="7">
        <f>+220</f>
        <v>220</v>
      </c>
      <c r="G118" s="7">
        <f>+450</f>
        <v>450</v>
      </c>
      <c r="H118" s="7">
        <f>+180</f>
        <v>180</v>
      </c>
      <c r="I118" s="7">
        <f>+1050</f>
        <v>1050</v>
      </c>
      <c r="J118" s="7">
        <f>+350</f>
        <v>350</v>
      </c>
      <c r="K118" s="7">
        <f>+250</f>
        <v>250</v>
      </c>
      <c r="L118" s="7"/>
      <c r="M118" s="7"/>
      <c r="N118" s="7"/>
    </row>
    <row r="119">
      <c r="A119" s="1" t="s">
        <v>237</v>
      </c>
      <c r="B119" s="9" t="s">
        <v>4</v>
      </c>
      <c r="C119" s="13" t="s">
        <v>244</v>
      </c>
      <c r="D119" s="7">
        <f>+265</f>
        <v>265</v>
      </c>
      <c r="E119" s="7">
        <f>+210</f>
        <v>210</v>
      </c>
      <c r="F119" s="7">
        <f>+115</f>
        <v>115</v>
      </c>
      <c r="G119" s="7">
        <f>+125</f>
        <v>125</v>
      </c>
      <c r="H119" s="7">
        <f>+210</f>
        <v>210</v>
      </c>
      <c r="I119" s="7">
        <f>+290</f>
        <v>290</v>
      </c>
      <c r="J119" s="7">
        <f>+700</f>
        <v>700</v>
      </c>
      <c r="K119" s="7">
        <f>+600</f>
        <v>600</v>
      </c>
      <c r="L119" s="7"/>
      <c r="M119" s="7"/>
      <c r="N119" s="7"/>
    </row>
    <row r="120">
      <c r="A120" s="1" t="s">
        <v>237</v>
      </c>
      <c r="B120" s="9" t="s">
        <v>4</v>
      </c>
      <c r="C120" s="13" t="s">
        <v>245</v>
      </c>
      <c r="D120" s="7">
        <f>+550</f>
        <v>550</v>
      </c>
      <c r="E120" s="7">
        <f t="shared" ref="E120:F120" si="74">+400</f>
        <v>400</v>
      </c>
      <c r="F120" s="7">
        <f t="shared" si="74"/>
        <v>400</v>
      </c>
      <c r="G120" s="7">
        <f>+850</f>
        <v>850</v>
      </c>
      <c r="H120" s="7">
        <f>+400</f>
        <v>400</v>
      </c>
      <c r="I120" s="7">
        <f>+1900</f>
        <v>1900</v>
      </c>
      <c r="J120" s="7">
        <f>+1400</f>
        <v>1400</v>
      </c>
      <c r="K120" s="7">
        <f>+6600</f>
        <v>6600</v>
      </c>
      <c r="L120" s="7"/>
      <c r="M120" s="7"/>
      <c r="N120" s="7"/>
    </row>
    <row r="121">
      <c r="A121" s="1" t="s">
        <v>237</v>
      </c>
      <c r="B121" s="9" t="s">
        <v>4</v>
      </c>
      <c r="C121" s="13" t="s">
        <v>246</v>
      </c>
      <c r="D121" s="7">
        <f>+425</f>
        <v>425</v>
      </c>
      <c r="E121" s="7">
        <f>+600</f>
        <v>600</v>
      </c>
      <c r="F121" s="7">
        <f>+450</f>
        <v>450</v>
      </c>
      <c r="G121" s="7">
        <f>+200</f>
        <v>200</v>
      </c>
      <c r="H121" s="7">
        <f>+600</f>
        <v>600</v>
      </c>
      <c r="I121" s="7">
        <f>+860</f>
        <v>860</v>
      </c>
      <c r="J121" s="7">
        <f>+4000</f>
        <v>4000</v>
      </c>
      <c r="K121" s="7">
        <f>+10000</f>
        <v>10000</v>
      </c>
      <c r="L121" s="7"/>
      <c r="M121" s="7"/>
      <c r="N121" s="7"/>
    </row>
    <row r="122">
      <c r="A122" s="1" t="s">
        <v>237</v>
      </c>
      <c r="B122" s="9" t="s">
        <v>4</v>
      </c>
      <c r="C122" s="13" t="s">
        <v>247</v>
      </c>
      <c r="D122" s="7">
        <f>+210</f>
        <v>210</v>
      </c>
      <c r="E122" s="7">
        <f>+200</f>
        <v>200</v>
      </c>
      <c r="F122" s="7">
        <f>+350</f>
        <v>350</v>
      </c>
      <c r="G122" s="7">
        <f>+450</f>
        <v>450</v>
      </c>
      <c r="H122" s="7">
        <f>+200</f>
        <v>200</v>
      </c>
      <c r="I122" s="7">
        <f>+400</f>
        <v>400</v>
      </c>
      <c r="J122" s="7">
        <f>+1250</f>
        <v>1250</v>
      </c>
      <c r="K122" s="7">
        <f>+25000</f>
        <v>25000</v>
      </c>
      <c r="L122" s="7"/>
      <c r="M122" s="7"/>
      <c r="N122" s="7"/>
    </row>
    <row r="123">
      <c r="A123" s="1" t="s">
        <v>237</v>
      </c>
      <c r="B123" s="9" t="s">
        <v>4</v>
      </c>
      <c r="C123" s="13" t="s">
        <v>248</v>
      </c>
      <c r="D123" s="8">
        <v>-150.0</v>
      </c>
      <c r="E123" s="8">
        <v>-130.0</v>
      </c>
      <c r="F123" s="7">
        <f>+160</f>
        <v>160</v>
      </c>
      <c r="G123" s="7">
        <f>+350</f>
        <v>350</v>
      </c>
      <c r="H123" s="8">
        <v>-130.0</v>
      </c>
      <c r="I123" s="7">
        <f>+3700</f>
        <v>3700</v>
      </c>
      <c r="J123" s="7">
        <f>+20000</f>
        <v>20000</v>
      </c>
      <c r="K123" s="7">
        <f t="shared" ref="K123:K124" si="75">+50000</f>
        <v>50000</v>
      </c>
      <c r="L123" s="7"/>
      <c r="M123" s="7"/>
      <c r="N123" s="7"/>
    </row>
    <row r="124">
      <c r="A124" s="1" t="s">
        <v>237</v>
      </c>
      <c r="B124" s="9" t="s">
        <v>4</v>
      </c>
      <c r="C124" s="13" t="s">
        <v>249</v>
      </c>
      <c r="D124" s="7">
        <f t="shared" ref="D124:D125" si="76">+4000</f>
        <v>4000</v>
      </c>
      <c r="E124" s="7">
        <f>+3300</f>
        <v>3300</v>
      </c>
      <c r="F124" s="7">
        <f>+1000</f>
        <v>1000</v>
      </c>
      <c r="G124" s="7">
        <f>+2000</f>
        <v>2000</v>
      </c>
      <c r="H124" s="7">
        <f>+3300</f>
        <v>3300</v>
      </c>
      <c r="I124" s="7">
        <f>+25000</f>
        <v>25000</v>
      </c>
      <c r="J124" s="7">
        <f>+100000</f>
        <v>100000</v>
      </c>
      <c r="K124" s="7">
        <f t="shared" si="75"/>
        <v>50000</v>
      </c>
      <c r="L124" s="7"/>
      <c r="M124" s="7"/>
      <c r="N124" s="7"/>
    </row>
    <row r="125">
      <c r="A125" s="1" t="s">
        <v>237</v>
      </c>
      <c r="B125" s="9" t="s">
        <v>4</v>
      </c>
      <c r="C125" s="13" t="s">
        <v>250</v>
      </c>
      <c r="D125" s="7">
        <f t="shared" si="76"/>
        <v>4000</v>
      </c>
      <c r="E125" s="7">
        <f>+5000</f>
        <v>5000</v>
      </c>
      <c r="F125" s="7">
        <f>+2000</f>
        <v>2000</v>
      </c>
      <c r="G125" s="7">
        <f>+1450</f>
        <v>1450</v>
      </c>
      <c r="H125" s="7">
        <f>+5000</f>
        <v>5000</v>
      </c>
      <c r="I125" s="7">
        <f>+4300</f>
        <v>4300</v>
      </c>
      <c r="J125" s="7">
        <f>+10000</f>
        <v>10000</v>
      </c>
      <c r="K125" s="7">
        <f t="shared" ref="K125:K126" si="78">+75000</f>
        <v>75000</v>
      </c>
      <c r="L125" s="7"/>
      <c r="M125" s="7"/>
      <c r="N125" s="7"/>
    </row>
    <row r="126">
      <c r="A126" s="1" t="s">
        <v>237</v>
      </c>
      <c r="B126" s="9" t="s">
        <v>4</v>
      </c>
      <c r="C126" s="13" t="s">
        <v>251</v>
      </c>
      <c r="D126" s="7">
        <f>+200000</f>
        <v>200000</v>
      </c>
      <c r="E126" s="7">
        <f t="shared" ref="E126:H126" si="77">+100000</f>
        <v>100000</v>
      </c>
      <c r="F126" s="7">
        <f t="shared" si="77"/>
        <v>100000</v>
      </c>
      <c r="G126" s="7">
        <f t="shared" si="77"/>
        <v>100000</v>
      </c>
      <c r="H126" s="7">
        <f t="shared" si="77"/>
        <v>100000</v>
      </c>
      <c r="I126" s="7">
        <f>+9000</f>
        <v>9000</v>
      </c>
      <c r="J126" s="7">
        <f>+15000</f>
        <v>15000</v>
      </c>
      <c r="K126" s="7">
        <f t="shared" si="78"/>
        <v>75000</v>
      </c>
      <c r="L126" s="7"/>
      <c r="M126" s="7"/>
      <c r="N126" s="7"/>
    </row>
    <row r="127">
      <c r="A127" s="1" t="s">
        <v>237</v>
      </c>
      <c r="B127" s="9" t="s">
        <v>4</v>
      </c>
      <c r="C127" s="13" t="s">
        <v>252</v>
      </c>
      <c r="D127" s="7">
        <f t="shared" ref="D127:E127" si="79">+250000</f>
        <v>250000</v>
      </c>
      <c r="E127" s="7">
        <f t="shared" si="79"/>
        <v>250000</v>
      </c>
      <c r="F127" s="7">
        <f>+300000</f>
        <v>300000</v>
      </c>
      <c r="G127" s="7">
        <f>+25000</f>
        <v>25000</v>
      </c>
      <c r="H127" s="7">
        <f>+250000</f>
        <v>250000</v>
      </c>
      <c r="I127" s="7">
        <f>+80000</f>
        <v>80000</v>
      </c>
      <c r="J127" s="7">
        <f t="shared" ref="J127:J128" si="81">+150000</f>
        <v>150000</v>
      </c>
      <c r="K127" s="7"/>
      <c r="L127" s="7"/>
      <c r="M127" s="7"/>
      <c r="N127" s="7"/>
    </row>
    <row r="128">
      <c r="A128" s="1" t="s">
        <v>237</v>
      </c>
      <c r="B128" s="9" t="s">
        <v>4</v>
      </c>
      <c r="C128" s="13" t="s">
        <v>253</v>
      </c>
      <c r="D128" s="7">
        <f>+200000</f>
        <v>200000</v>
      </c>
      <c r="E128" s="7">
        <f>+100000</f>
        <v>100000</v>
      </c>
      <c r="F128" s="7">
        <f>+27500</f>
        <v>27500</v>
      </c>
      <c r="G128" s="7">
        <f t="shared" ref="G128:H128" si="80">+100000</f>
        <v>100000</v>
      </c>
      <c r="H128" s="7">
        <f t="shared" si="80"/>
        <v>100000</v>
      </c>
      <c r="I128" s="7">
        <f>+200000</f>
        <v>200000</v>
      </c>
      <c r="J128" s="7">
        <f t="shared" si="81"/>
        <v>150000</v>
      </c>
      <c r="K128" s="7"/>
      <c r="L128" s="7"/>
      <c r="M128" s="7"/>
      <c r="N128" s="7"/>
    </row>
    <row r="129">
      <c r="A129" s="1" t="s">
        <v>237</v>
      </c>
      <c r="B129" s="9" t="s">
        <v>4</v>
      </c>
      <c r="C129" s="13" t="s">
        <v>254</v>
      </c>
      <c r="D129" s="7">
        <f t="shared" ref="D129:E129" si="82">+100000</f>
        <v>100000</v>
      </c>
      <c r="E129" s="7">
        <f t="shared" si="82"/>
        <v>100000</v>
      </c>
      <c r="F129" s="7">
        <f>+50000</f>
        <v>50000</v>
      </c>
      <c r="G129" s="7">
        <f>+15000</f>
        <v>15000</v>
      </c>
      <c r="H129" s="7">
        <f>+100000</f>
        <v>100000</v>
      </c>
      <c r="I129" s="7">
        <f>+50000</f>
        <v>50000</v>
      </c>
      <c r="J129" s="7">
        <f>+250000</f>
        <v>250000</v>
      </c>
      <c r="K129" s="7"/>
      <c r="L129" s="7"/>
      <c r="M129" s="7"/>
      <c r="N129" s="7"/>
    </row>
    <row r="130">
      <c r="A130" s="1" t="s">
        <v>237</v>
      </c>
      <c r="B130" s="9" t="s">
        <v>4</v>
      </c>
      <c r="C130" s="13" t="s">
        <v>255</v>
      </c>
      <c r="D130" s="7">
        <f>+2500</f>
        <v>2500</v>
      </c>
      <c r="E130" s="7">
        <f>+3500</f>
        <v>3500</v>
      </c>
      <c r="F130" s="7">
        <f>+8000</f>
        <v>8000</v>
      </c>
      <c r="G130" s="7">
        <f>+50000</f>
        <v>50000</v>
      </c>
      <c r="H130" s="7">
        <f>+3500</f>
        <v>3500</v>
      </c>
      <c r="I130" s="7"/>
      <c r="J130" s="7"/>
      <c r="K130" s="7"/>
      <c r="L130" s="7"/>
      <c r="M130" s="7"/>
      <c r="N130" s="7"/>
    </row>
    <row r="131">
      <c r="A131" s="1" t="s">
        <v>237</v>
      </c>
      <c r="B131" s="9" t="s">
        <v>4</v>
      </c>
      <c r="C131" s="13" t="s">
        <v>256</v>
      </c>
      <c r="D131" s="7">
        <f t="shared" ref="D131:D132" si="84">+450000</f>
        <v>450000</v>
      </c>
      <c r="E131" s="7">
        <f t="shared" ref="E131:H131" si="83">+500000</f>
        <v>500000</v>
      </c>
      <c r="F131" s="7">
        <f t="shared" si="83"/>
        <v>500000</v>
      </c>
      <c r="G131" s="7">
        <f t="shared" si="83"/>
        <v>500000</v>
      </c>
      <c r="H131" s="7">
        <f t="shared" si="83"/>
        <v>500000</v>
      </c>
      <c r="I131" s="7"/>
      <c r="J131" s="7"/>
      <c r="K131" s="7"/>
      <c r="L131" s="7"/>
      <c r="M131" s="7"/>
      <c r="N131" s="7"/>
    </row>
    <row r="132">
      <c r="A132" s="1" t="s">
        <v>237</v>
      </c>
      <c r="B132" s="9" t="s">
        <v>4</v>
      </c>
      <c r="C132" s="13" t="s">
        <v>257</v>
      </c>
      <c r="D132" s="7">
        <f t="shared" si="84"/>
        <v>450000</v>
      </c>
      <c r="E132" s="7">
        <f t="shared" ref="E132:H132" si="85">+500000</f>
        <v>500000</v>
      </c>
      <c r="F132" s="7">
        <f t="shared" si="85"/>
        <v>500000</v>
      </c>
      <c r="G132" s="7">
        <f t="shared" si="85"/>
        <v>500000</v>
      </c>
      <c r="H132" s="7">
        <f t="shared" si="85"/>
        <v>500000</v>
      </c>
      <c r="I132" s="7"/>
      <c r="J132" s="7"/>
      <c r="K132" s="7"/>
      <c r="L132" s="7"/>
      <c r="M132" s="7"/>
      <c r="N132" s="7"/>
    </row>
    <row r="133">
      <c r="B133" s="9"/>
      <c r="C133" s="3" t="s">
        <v>2</v>
      </c>
      <c r="D133" s="10">
        <v>45862.0</v>
      </c>
      <c r="E133" s="10">
        <v>45879.0</v>
      </c>
      <c r="F133" s="10">
        <v>45931.0</v>
      </c>
      <c r="G133" s="10">
        <v>45962.0</v>
      </c>
      <c r="H133" s="10">
        <v>45992.0</v>
      </c>
      <c r="I133" s="10">
        <v>45658.0</v>
      </c>
      <c r="J133" s="10">
        <v>45689.0</v>
      </c>
      <c r="K133" s="10">
        <v>45717.0</v>
      </c>
      <c r="L133" s="10">
        <v>45748.0</v>
      </c>
      <c r="M133" s="11">
        <v>45778.0</v>
      </c>
      <c r="N133" s="12"/>
    </row>
    <row r="134">
      <c r="A134" s="1" t="s">
        <v>258</v>
      </c>
      <c r="B134" s="9" t="s">
        <v>4</v>
      </c>
      <c r="C134" s="13" t="s">
        <v>259</v>
      </c>
      <c r="D134" s="8">
        <v>-130.0</v>
      </c>
      <c r="E134" s="8">
        <v>-150.0</v>
      </c>
      <c r="F134" s="8">
        <v>-400.0</v>
      </c>
      <c r="G134" s="8">
        <v>-225.0</v>
      </c>
      <c r="H134" s="8">
        <v>-275.0</v>
      </c>
      <c r="I134" s="7">
        <f>+100</f>
        <v>100</v>
      </c>
      <c r="J134" s="8">
        <v>-300.0</v>
      </c>
      <c r="K134" s="8">
        <v>-350.0</v>
      </c>
      <c r="L134" s="8">
        <v>-550.0</v>
      </c>
      <c r="M134" s="8">
        <v>-2400.0</v>
      </c>
      <c r="N134" s="8" t="s">
        <v>152</v>
      </c>
    </row>
    <row r="135">
      <c r="A135" s="1" t="s">
        <v>258</v>
      </c>
      <c r="B135" s="9" t="s">
        <v>4</v>
      </c>
      <c r="C135" s="13" t="s">
        <v>260</v>
      </c>
      <c r="D135" s="7">
        <f>+120</f>
        <v>120</v>
      </c>
      <c r="E135" s="7">
        <f>+110</f>
        <v>110</v>
      </c>
      <c r="F135" s="8">
        <v>-350.0</v>
      </c>
      <c r="G135" s="8">
        <v>-275.0</v>
      </c>
      <c r="H135" s="8">
        <v>-125.0</v>
      </c>
      <c r="I135" s="8">
        <v>-700.0</v>
      </c>
      <c r="J135" s="8">
        <v>-5000.0</v>
      </c>
      <c r="K135" s="8">
        <v>-20000.0</v>
      </c>
      <c r="L135" s="7"/>
      <c r="M135" s="7"/>
      <c r="N135" s="8" t="s">
        <v>152</v>
      </c>
    </row>
    <row r="136">
      <c r="A136" s="1" t="s">
        <v>258</v>
      </c>
      <c r="B136" s="9" t="s">
        <v>4</v>
      </c>
      <c r="C136" s="13" t="s">
        <v>261</v>
      </c>
      <c r="D136" s="7">
        <f>+175</f>
        <v>175</v>
      </c>
      <c r="E136" s="7">
        <f>+250</f>
        <v>250</v>
      </c>
      <c r="F136" s="7">
        <f>+275</f>
        <v>275</v>
      </c>
      <c r="G136" s="8">
        <v>-115.0</v>
      </c>
      <c r="H136" s="8">
        <v>-120.0</v>
      </c>
      <c r="I136" s="8">
        <v>-140.0</v>
      </c>
      <c r="J136" s="8">
        <v>-275.0</v>
      </c>
      <c r="K136" s="8">
        <v>-3500.0</v>
      </c>
      <c r="L136" s="7"/>
      <c r="M136" s="7"/>
      <c r="N136" s="8" t="s">
        <v>152</v>
      </c>
    </row>
    <row r="137">
      <c r="A137" s="1" t="s">
        <v>258</v>
      </c>
      <c r="B137" s="9" t="s">
        <v>4</v>
      </c>
      <c r="C137" s="13" t="s">
        <v>262</v>
      </c>
      <c r="D137" s="7">
        <f>+250</f>
        <v>250</v>
      </c>
      <c r="E137" s="7">
        <f>+255</f>
        <v>255</v>
      </c>
      <c r="F137" s="7">
        <f>+350</f>
        <v>350</v>
      </c>
      <c r="G137" s="7">
        <f>+1600</f>
        <v>1600</v>
      </c>
      <c r="H137" s="7">
        <f>+1000</f>
        <v>1000</v>
      </c>
      <c r="I137" s="7">
        <f>+4000</f>
        <v>4000</v>
      </c>
      <c r="J137" s="7">
        <f>+2000</f>
        <v>2000</v>
      </c>
      <c r="K137" s="7">
        <f>+700</f>
        <v>700</v>
      </c>
      <c r="L137" s="7">
        <f>+1800</f>
        <v>1800</v>
      </c>
      <c r="M137" s="7">
        <f>+1375</f>
        <v>1375</v>
      </c>
      <c r="N137" s="7"/>
    </row>
    <row r="138">
      <c r="A138" s="1" t="s">
        <v>258</v>
      </c>
      <c r="B138" s="9" t="s">
        <v>4</v>
      </c>
      <c r="C138" s="13" t="s">
        <v>263</v>
      </c>
      <c r="D138" s="7">
        <f>+370</f>
        <v>370</v>
      </c>
      <c r="E138" s="7">
        <f>+400</f>
        <v>400</v>
      </c>
      <c r="F138" s="7">
        <f>+225</f>
        <v>225</v>
      </c>
      <c r="G138" s="7">
        <f>+150</f>
        <v>150</v>
      </c>
      <c r="H138" s="8">
        <v>-140.0</v>
      </c>
      <c r="I138" s="8">
        <v>-225.0</v>
      </c>
      <c r="J138" s="7">
        <f>+230</f>
        <v>230</v>
      </c>
      <c r="K138" s="7">
        <f>+1000</f>
        <v>1000</v>
      </c>
      <c r="L138" s="7">
        <f>+650</f>
        <v>650</v>
      </c>
      <c r="M138" s="7"/>
      <c r="N138" s="7"/>
    </row>
    <row r="139">
      <c r="A139" s="1" t="s">
        <v>258</v>
      </c>
      <c r="B139" s="9" t="s">
        <v>4</v>
      </c>
      <c r="C139" s="13" t="s">
        <v>264</v>
      </c>
      <c r="D139" s="7">
        <f>+670</f>
        <v>670</v>
      </c>
      <c r="E139" s="7">
        <f>+700</f>
        <v>700</v>
      </c>
      <c r="F139" s="7">
        <f>+425</f>
        <v>425</v>
      </c>
      <c r="G139" s="7">
        <f>+500</f>
        <v>500</v>
      </c>
      <c r="H139" s="7">
        <f>+250</f>
        <v>250</v>
      </c>
      <c r="I139" s="7">
        <f>+450</f>
        <v>450</v>
      </c>
      <c r="J139" s="7">
        <f>+1100</f>
        <v>1100</v>
      </c>
      <c r="K139" s="7">
        <f>+850</f>
        <v>850</v>
      </c>
      <c r="L139" s="7">
        <f>+6600</f>
        <v>6600</v>
      </c>
      <c r="M139" s="7"/>
      <c r="N139" s="7"/>
    </row>
    <row r="140">
      <c r="A140" s="1" t="s">
        <v>258</v>
      </c>
      <c r="B140" s="9" t="s">
        <v>4</v>
      </c>
      <c r="C140" s="13" t="s">
        <v>265</v>
      </c>
      <c r="D140" s="7">
        <f t="shared" ref="D140:E140" si="86">+500</f>
        <v>500</v>
      </c>
      <c r="E140" s="7">
        <f t="shared" si="86"/>
        <v>500</v>
      </c>
      <c r="F140" s="7">
        <f>+225</f>
        <v>225</v>
      </c>
      <c r="G140" s="7">
        <f>+200</f>
        <v>200</v>
      </c>
      <c r="H140" s="7">
        <f>+510</f>
        <v>510</v>
      </c>
      <c r="I140" s="7">
        <f>+400</f>
        <v>400</v>
      </c>
      <c r="J140" s="7">
        <f>+750</f>
        <v>750</v>
      </c>
      <c r="K140" s="7">
        <f>+3500</f>
        <v>3500</v>
      </c>
      <c r="L140" s="7">
        <f>+10000</f>
        <v>10000</v>
      </c>
      <c r="M140" s="7"/>
      <c r="N140" s="7"/>
    </row>
    <row r="141">
      <c r="A141" s="1" t="s">
        <v>258</v>
      </c>
      <c r="B141" s="9" t="s">
        <v>4</v>
      </c>
      <c r="C141" s="13" t="s">
        <v>266</v>
      </c>
      <c r="D141" s="7">
        <f>+460</f>
        <v>460</v>
      </c>
      <c r="E141" s="7">
        <f>+525</f>
        <v>525</v>
      </c>
      <c r="F141" s="7">
        <f>+1000</f>
        <v>1000</v>
      </c>
      <c r="G141" s="7">
        <f>+600</f>
        <v>600</v>
      </c>
      <c r="H141" s="7">
        <f>+750</f>
        <v>750</v>
      </c>
      <c r="I141" s="7">
        <f>+1200</f>
        <v>1200</v>
      </c>
      <c r="J141" s="7">
        <f>+1300</f>
        <v>1300</v>
      </c>
      <c r="K141" s="7">
        <f>+6000</f>
        <v>6000</v>
      </c>
      <c r="L141" s="7">
        <f>+20000</f>
        <v>20000</v>
      </c>
      <c r="M141" s="7"/>
      <c r="N141" s="7"/>
    </row>
    <row r="142">
      <c r="A142" s="1" t="s">
        <v>258</v>
      </c>
      <c r="B142" s="9" t="s">
        <v>4</v>
      </c>
      <c r="C142" s="13" t="s">
        <v>267</v>
      </c>
      <c r="D142" s="7">
        <f t="shared" ref="D142:E142" si="87">+450</f>
        <v>450</v>
      </c>
      <c r="E142" s="7">
        <f t="shared" si="87"/>
        <v>450</v>
      </c>
      <c r="F142" s="7">
        <f>+1800</f>
        <v>1800</v>
      </c>
      <c r="G142" s="7">
        <f>+10000</f>
        <v>10000</v>
      </c>
      <c r="H142" s="7">
        <f>+8000</f>
        <v>8000</v>
      </c>
      <c r="I142" s="7">
        <f>+15000</f>
        <v>15000</v>
      </c>
      <c r="J142" s="7">
        <f t="shared" ref="J142:K142" si="88">+25000</f>
        <v>25000</v>
      </c>
      <c r="K142" s="7">
        <f t="shared" si="88"/>
        <v>25000</v>
      </c>
      <c r="L142" s="7">
        <f>+50000</f>
        <v>50000</v>
      </c>
      <c r="M142" s="7"/>
      <c r="N142" s="7"/>
    </row>
    <row r="143">
      <c r="A143" s="1" t="s">
        <v>258</v>
      </c>
      <c r="B143" s="9" t="s">
        <v>4</v>
      </c>
      <c r="C143" s="13" t="s">
        <v>268</v>
      </c>
      <c r="D143" s="7">
        <f>+1150</f>
        <v>1150</v>
      </c>
      <c r="E143" s="7">
        <f>+1400</f>
        <v>1400</v>
      </c>
      <c r="F143" s="7">
        <f>+4500</f>
        <v>4500</v>
      </c>
      <c r="G143" s="7">
        <f>+4000</f>
        <v>4000</v>
      </c>
      <c r="H143" s="7">
        <f>+6500</f>
        <v>6500</v>
      </c>
      <c r="I143" s="7">
        <f>+30000</f>
        <v>30000</v>
      </c>
      <c r="J143" s="7">
        <f t="shared" ref="J143:K143" si="89">+50000</f>
        <v>50000</v>
      </c>
      <c r="K143" s="7">
        <f t="shared" si="89"/>
        <v>50000</v>
      </c>
      <c r="L143" s="7"/>
      <c r="M143" s="7"/>
      <c r="N143" s="7"/>
    </row>
    <row r="144">
      <c r="A144" s="1" t="s">
        <v>258</v>
      </c>
      <c r="B144" s="9" t="s">
        <v>4</v>
      </c>
      <c r="C144" s="13" t="s">
        <v>269</v>
      </c>
      <c r="D144" s="7">
        <f>+630</f>
        <v>630</v>
      </c>
      <c r="E144" s="7">
        <f>+850</f>
        <v>850</v>
      </c>
      <c r="F144" s="7">
        <f>+1100</f>
        <v>1100</v>
      </c>
      <c r="G144" s="7">
        <f>+1350</f>
        <v>1350</v>
      </c>
      <c r="H144" s="7">
        <f>+1500</f>
        <v>1500</v>
      </c>
      <c r="I144" s="7">
        <f t="shared" ref="I144:I145" si="91">+35000</f>
        <v>35000</v>
      </c>
      <c r="J144" s="7">
        <f t="shared" ref="J144:K144" si="90">+50000</f>
        <v>50000</v>
      </c>
      <c r="K144" s="7">
        <f t="shared" si="90"/>
        <v>50000</v>
      </c>
      <c r="L144" s="7"/>
      <c r="M144" s="7"/>
      <c r="N144" s="7"/>
    </row>
    <row r="145">
      <c r="A145" s="1" t="s">
        <v>258</v>
      </c>
      <c r="B145" s="9" t="s">
        <v>4</v>
      </c>
      <c r="C145" s="13" t="s">
        <v>270</v>
      </c>
      <c r="D145" s="7">
        <f>+2800</f>
        <v>2800</v>
      </c>
      <c r="E145" s="7">
        <f>+3300</f>
        <v>3300</v>
      </c>
      <c r="F145" s="7">
        <f>+3500</f>
        <v>3500</v>
      </c>
      <c r="G145" s="7">
        <f t="shared" ref="G145:G146" si="92">+10000</f>
        <v>10000</v>
      </c>
      <c r="H145" s="7">
        <f>+50000</f>
        <v>50000</v>
      </c>
      <c r="I145" s="7">
        <f t="shared" si="91"/>
        <v>35000</v>
      </c>
      <c r="J145" s="7">
        <f>+75000</f>
        <v>75000</v>
      </c>
      <c r="K145" s="7">
        <f>+50000</f>
        <v>50000</v>
      </c>
      <c r="L145" s="7"/>
      <c r="M145" s="7"/>
      <c r="N145" s="7"/>
    </row>
    <row r="146">
      <c r="A146" s="1" t="s">
        <v>258</v>
      </c>
      <c r="B146" s="9" t="s">
        <v>4</v>
      </c>
      <c r="C146" s="13" t="s">
        <v>271</v>
      </c>
      <c r="D146" s="7">
        <f>+200</f>
        <v>200</v>
      </c>
      <c r="E146" s="7">
        <f>+210</f>
        <v>210</v>
      </c>
      <c r="F146" s="7">
        <f>+2800</f>
        <v>2800</v>
      </c>
      <c r="G146" s="7">
        <f t="shared" si="92"/>
        <v>10000</v>
      </c>
      <c r="H146" s="7">
        <f>+8000</f>
        <v>8000</v>
      </c>
      <c r="I146" s="7">
        <f>+30000</f>
        <v>30000</v>
      </c>
      <c r="J146" s="7">
        <f>+50000</f>
        <v>50000</v>
      </c>
      <c r="K146" s="7"/>
      <c r="L146" s="7"/>
      <c r="M146" s="7"/>
      <c r="N146" s="7"/>
    </row>
    <row r="147">
      <c r="A147" s="1" t="s">
        <v>258</v>
      </c>
      <c r="B147" s="9" t="s">
        <v>4</v>
      </c>
      <c r="C147" s="13" t="s">
        <v>272</v>
      </c>
      <c r="D147" s="7">
        <f>+600</f>
        <v>600</v>
      </c>
      <c r="E147" s="7">
        <f>+800</f>
        <v>800</v>
      </c>
      <c r="F147" s="7">
        <f>+5000</f>
        <v>5000</v>
      </c>
      <c r="G147" s="7">
        <f>+8000</f>
        <v>8000</v>
      </c>
      <c r="H147" s="7">
        <f>+5000</f>
        <v>5000</v>
      </c>
      <c r="I147" s="7">
        <f>+50000</f>
        <v>50000</v>
      </c>
      <c r="J147" s="7">
        <f>+100000</f>
        <v>100000</v>
      </c>
      <c r="K147" s="7"/>
      <c r="L147" s="7"/>
      <c r="M147" s="7"/>
      <c r="N147" s="7"/>
    </row>
    <row r="148">
      <c r="A148" s="1" t="s">
        <v>258</v>
      </c>
      <c r="B148" s="9" t="s">
        <v>4</v>
      </c>
      <c r="C148" s="13" t="s">
        <v>273</v>
      </c>
      <c r="D148" s="7">
        <f t="shared" ref="D148:E148" si="93">+200000</f>
        <v>200000</v>
      </c>
      <c r="E148" s="7">
        <f t="shared" si="93"/>
        <v>200000</v>
      </c>
      <c r="F148" s="7">
        <f>+450000</f>
        <v>450000</v>
      </c>
      <c r="G148" s="7">
        <f>+100000</f>
        <v>100000</v>
      </c>
      <c r="H148" s="7"/>
      <c r="I148" s="7"/>
      <c r="J148" s="7"/>
      <c r="K148" s="7"/>
      <c r="L148" s="7"/>
      <c r="M148" s="7"/>
      <c r="N148" s="7"/>
    </row>
    <row r="149">
      <c r="A149" s="1" t="s">
        <v>258</v>
      </c>
      <c r="B149" s="9" t="s">
        <v>4</v>
      </c>
      <c r="C149" s="13" t="s">
        <v>274</v>
      </c>
      <c r="D149" s="7">
        <f t="shared" ref="D149:E149" si="94">+50000</f>
        <v>50000</v>
      </c>
      <c r="E149" s="7">
        <f t="shared" si="94"/>
        <v>50000</v>
      </c>
      <c r="F149" s="7">
        <f>+150000</f>
        <v>150000</v>
      </c>
      <c r="G149" s="7">
        <f>+450000</f>
        <v>450000</v>
      </c>
      <c r="H149" s="7"/>
      <c r="I149" s="7"/>
      <c r="J149" s="7"/>
      <c r="K149" s="7"/>
      <c r="L149" s="7"/>
      <c r="M149" s="7"/>
      <c r="N149" s="7"/>
    </row>
    <row r="150">
      <c r="A150" s="1" t="s">
        <v>258</v>
      </c>
      <c r="B150" s="9" t="s">
        <v>4</v>
      </c>
      <c r="C150" s="13" t="s">
        <v>275</v>
      </c>
      <c r="D150" s="7">
        <f t="shared" ref="D150:E150" si="95">+75000</f>
        <v>75000</v>
      </c>
      <c r="E150" s="7">
        <f t="shared" si="95"/>
        <v>75000</v>
      </c>
      <c r="F150" s="7">
        <f t="shared" ref="F150:G150" si="96">+450000</f>
        <v>450000</v>
      </c>
      <c r="G150" s="7">
        <f t="shared" si="96"/>
        <v>450000</v>
      </c>
      <c r="H150" s="7"/>
      <c r="I150" s="7"/>
      <c r="J150" s="7"/>
      <c r="K150" s="7"/>
      <c r="L150" s="7"/>
      <c r="M150" s="7"/>
      <c r="N150" s="7"/>
    </row>
    <row r="151">
      <c r="A151" s="1" t="s">
        <v>258</v>
      </c>
      <c r="B151" s="9" t="s">
        <v>4</v>
      </c>
      <c r="C151" s="13" t="s">
        <v>276</v>
      </c>
      <c r="D151" s="7">
        <f t="shared" ref="D151:E151" si="97">+100000</f>
        <v>100000</v>
      </c>
      <c r="E151" s="7">
        <f t="shared" si="97"/>
        <v>100000</v>
      </c>
      <c r="F151" s="7">
        <f t="shared" ref="F151:G151" si="98">+450000</f>
        <v>450000</v>
      </c>
      <c r="G151" s="7">
        <f t="shared" si="98"/>
        <v>450000</v>
      </c>
      <c r="H151" s="7"/>
      <c r="I151" s="7"/>
      <c r="J151" s="7"/>
      <c r="K151" s="7"/>
      <c r="L151" s="7"/>
      <c r="M151" s="7"/>
      <c r="N151" s="7"/>
    </row>
    <row r="152">
      <c r="A152" s="1" t="s">
        <v>258</v>
      </c>
      <c r="B152" s="9" t="s">
        <v>4</v>
      </c>
      <c r="C152" s="13" t="s">
        <v>277</v>
      </c>
      <c r="D152" s="7">
        <f t="shared" ref="D152:E152" si="99">+200000</f>
        <v>200000</v>
      </c>
      <c r="E152" s="7">
        <f t="shared" si="99"/>
        <v>200000</v>
      </c>
      <c r="F152" s="7">
        <f t="shared" ref="F152:F153" si="100">+450000</f>
        <v>450000</v>
      </c>
      <c r="G152" s="7">
        <f t="shared" ref="G152:G153" si="101">+500000</f>
        <v>500000</v>
      </c>
      <c r="H152" s="7"/>
      <c r="I152" s="7"/>
      <c r="J152" s="7"/>
      <c r="K152" s="7"/>
      <c r="L152" s="7"/>
      <c r="M152" s="7"/>
      <c r="N152" s="7"/>
    </row>
    <row r="153">
      <c r="A153" s="1" t="s">
        <v>258</v>
      </c>
      <c r="B153" s="9" t="s">
        <v>4</v>
      </c>
      <c r="C153" s="13" t="s">
        <v>278</v>
      </c>
      <c r="D153" s="7">
        <f>+400000</f>
        <v>400000</v>
      </c>
      <c r="E153" s="7">
        <f>+500000</f>
        <v>500000</v>
      </c>
      <c r="F153" s="7">
        <f t="shared" si="100"/>
        <v>450000</v>
      </c>
      <c r="G153" s="7">
        <f t="shared" si="101"/>
        <v>500000</v>
      </c>
      <c r="H153" s="7"/>
      <c r="I153" s="7"/>
      <c r="J153" s="7"/>
      <c r="K153" s="7"/>
      <c r="L153" s="7"/>
      <c r="M153" s="7"/>
      <c r="N153" s="7"/>
    </row>
    <row r="154">
      <c r="B154" s="9"/>
      <c r="C154" s="3" t="s">
        <v>2</v>
      </c>
      <c r="D154" s="11">
        <v>45803.0</v>
      </c>
      <c r="E154" s="10">
        <v>45880.0</v>
      </c>
      <c r="F154" s="10">
        <v>45931.0</v>
      </c>
      <c r="G154" s="10">
        <v>45962.0</v>
      </c>
      <c r="H154" s="10">
        <v>45992.0</v>
      </c>
      <c r="I154" s="10">
        <v>45658.0</v>
      </c>
      <c r="J154" s="10">
        <v>45689.0</v>
      </c>
      <c r="K154" s="10">
        <v>45717.0</v>
      </c>
      <c r="L154" s="10">
        <v>45748.0</v>
      </c>
      <c r="M154" s="11">
        <v>45778.0</v>
      </c>
      <c r="N154" s="12"/>
    </row>
    <row r="155">
      <c r="A155" s="1" t="s">
        <v>279</v>
      </c>
      <c r="B155" s="9" t="s">
        <v>4</v>
      </c>
      <c r="C155" s="13" t="s">
        <v>280</v>
      </c>
      <c r="D155" s="7"/>
      <c r="E155" s="7">
        <f>+600</f>
        <v>600</v>
      </c>
      <c r="F155" s="7">
        <f>+1000</f>
        <v>1000</v>
      </c>
      <c r="G155" s="7">
        <f>+700</f>
        <v>700</v>
      </c>
      <c r="H155" s="7">
        <f>+525</f>
        <v>525</v>
      </c>
      <c r="I155" s="7">
        <f>+200</f>
        <v>200</v>
      </c>
      <c r="J155" s="7">
        <f>+230</f>
        <v>230</v>
      </c>
      <c r="K155" s="8">
        <v>-110.0</v>
      </c>
      <c r="L155" s="7">
        <f>+125</f>
        <v>125</v>
      </c>
      <c r="M155" s="8">
        <v>-1100.0</v>
      </c>
      <c r="N155" s="8" t="s">
        <v>152</v>
      </c>
    </row>
    <row r="156">
      <c r="A156" s="1" t="s">
        <v>279</v>
      </c>
      <c r="B156" s="9" t="s">
        <v>4</v>
      </c>
      <c r="C156" s="13" t="s">
        <v>281</v>
      </c>
      <c r="D156" s="7"/>
      <c r="E156" s="7">
        <f>+225</f>
        <v>225</v>
      </c>
      <c r="F156" s="7">
        <f>+125</f>
        <v>125</v>
      </c>
      <c r="G156" s="8">
        <v>-110.0</v>
      </c>
      <c r="H156" s="8">
        <v>-270.0</v>
      </c>
      <c r="I156" s="8">
        <v>-400.0</v>
      </c>
      <c r="J156" s="7">
        <f>+100</f>
        <v>100</v>
      </c>
      <c r="K156" s="7">
        <f>+125</f>
        <v>125</v>
      </c>
      <c r="L156" s="8">
        <v>-335.0</v>
      </c>
      <c r="M156" s="7">
        <f>+265</f>
        <v>265</v>
      </c>
      <c r="N156" s="8" t="s">
        <v>152</v>
      </c>
    </row>
    <row r="157">
      <c r="A157" s="1" t="s">
        <v>279</v>
      </c>
      <c r="B157" s="9" t="s">
        <v>4</v>
      </c>
      <c r="C157" s="13" t="s">
        <v>282</v>
      </c>
      <c r="D157" s="7"/>
      <c r="E157" s="7">
        <f>+600</f>
        <v>600</v>
      </c>
      <c r="F157" s="7">
        <f>+550</f>
        <v>550</v>
      </c>
      <c r="G157" s="7">
        <f>+400</f>
        <v>400</v>
      </c>
      <c r="H157" s="7">
        <f>+225</f>
        <v>225</v>
      </c>
      <c r="I157" s="8">
        <v>-125.0</v>
      </c>
      <c r="J157" s="7">
        <f>+120</f>
        <v>120</v>
      </c>
      <c r="K157" s="8">
        <v>-700.0</v>
      </c>
      <c r="L157" s="8">
        <v>-5000.0</v>
      </c>
      <c r="M157" s="7"/>
      <c r="N157" s="8" t="s">
        <v>152</v>
      </c>
    </row>
    <row r="158">
      <c r="A158" s="1" t="s">
        <v>279</v>
      </c>
      <c r="B158" s="9" t="s">
        <v>4</v>
      </c>
      <c r="C158" s="13" t="s">
        <v>283</v>
      </c>
      <c r="D158" s="7"/>
      <c r="E158" s="7">
        <f>+2500</f>
        <v>2500</v>
      </c>
      <c r="F158" s="7">
        <f>+2300</f>
        <v>2300</v>
      </c>
      <c r="G158" s="7">
        <f>+2400</f>
        <v>2400</v>
      </c>
      <c r="H158" s="7">
        <f>+2000</f>
        <v>2000</v>
      </c>
      <c r="I158" s="7">
        <f>+550</f>
        <v>550</v>
      </c>
      <c r="J158" s="7">
        <f>+375</f>
        <v>375</v>
      </c>
      <c r="K158" s="7">
        <f>+450</f>
        <v>450</v>
      </c>
      <c r="L158" s="7">
        <f>+5000</f>
        <v>5000</v>
      </c>
      <c r="M158" s="7">
        <f>+115</f>
        <v>115</v>
      </c>
      <c r="N158" s="7"/>
    </row>
    <row r="159">
      <c r="A159" s="1" t="s">
        <v>279</v>
      </c>
      <c r="B159" s="9" t="s">
        <v>4</v>
      </c>
      <c r="C159" s="13" t="s">
        <v>284</v>
      </c>
      <c r="D159" s="7"/>
      <c r="E159" s="8">
        <v>-150.0</v>
      </c>
      <c r="F159" s="7">
        <f>+120</f>
        <v>120</v>
      </c>
      <c r="G159" s="7">
        <f>+125</f>
        <v>125</v>
      </c>
      <c r="H159" s="7">
        <f>+135</f>
        <v>135</v>
      </c>
      <c r="I159" s="7">
        <f>+280</f>
        <v>280</v>
      </c>
      <c r="J159" s="8">
        <v>-175.0</v>
      </c>
      <c r="K159" s="7">
        <f>+225</f>
        <v>225</v>
      </c>
      <c r="L159" s="7">
        <f>+115</f>
        <v>115</v>
      </c>
      <c r="M159" s="7">
        <f>+145</f>
        <v>145</v>
      </c>
      <c r="N159" s="7"/>
    </row>
    <row r="160">
      <c r="A160" s="1" t="s">
        <v>279</v>
      </c>
      <c r="B160" s="9" t="s">
        <v>4</v>
      </c>
      <c r="C160" s="13" t="s">
        <v>285</v>
      </c>
      <c r="D160" s="7"/>
      <c r="E160" s="7">
        <f>+1000</f>
        <v>1000</v>
      </c>
      <c r="F160" s="7">
        <f>+600</f>
        <v>600</v>
      </c>
      <c r="G160" s="7">
        <f>+320</f>
        <v>320</v>
      </c>
      <c r="H160" s="8">
        <v>-105.0</v>
      </c>
      <c r="I160" s="7">
        <f>+600</f>
        <v>600</v>
      </c>
      <c r="J160" s="7">
        <f>+900</f>
        <v>900</v>
      </c>
      <c r="K160" s="7">
        <f>+1000</f>
        <v>1000</v>
      </c>
      <c r="L160" s="7"/>
      <c r="M160" s="7">
        <f>+1350</f>
        <v>1350</v>
      </c>
      <c r="N160" s="7"/>
    </row>
    <row r="161">
      <c r="A161" s="1" t="s">
        <v>279</v>
      </c>
      <c r="B161" s="9" t="s">
        <v>4</v>
      </c>
      <c r="C161" s="13" t="s">
        <v>286</v>
      </c>
      <c r="D161" s="7"/>
      <c r="E161" s="7">
        <f>+130</f>
        <v>130</v>
      </c>
      <c r="F161" s="7">
        <f>+135</f>
        <v>135</v>
      </c>
      <c r="G161" s="7">
        <f>+200</f>
        <v>200</v>
      </c>
      <c r="H161" s="7">
        <f>+400</f>
        <v>400</v>
      </c>
      <c r="I161" s="7">
        <f>+255</f>
        <v>255</v>
      </c>
      <c r="J161" s="7">
        <f>+130</f>
        <v>130</v>
      </c>
      <c r="K161" s="7">
        <f>+500</f>
        <v>500</v>
      </c>
      <c r="L161" s="7">
        <f>+25000</f>
        <v>25000</v>
      </c>
      <c r="M161" s="7">
        <f>+4400</f>
        <v>4400</v>
      </c>
      <c r="N161" s="7"/>
    </row>
    <row r="162">
      <c r="A162" s="1" t="s">
        <v>279</v>
      </c>
      <c r="B162" s="9" t="s">
        <v>4</v>
      </c>
      <c r="C162" s="13" t="s">
        <v>287</v>
      </c>
      <c r="D162" s="7"/>
      <c r="E162" s="7">
        <f>+625</f>
        <v>625</v>
      </c>
      <c r="F162" s="7">
        <f>+170</f>
        <v>170</v>
      </c>
      <c r="G162" s="7">
        <f>+215</f>
        <v>215</v>
      </c>
      <c r="H162" s="7">
        <f>+600</f>
        <v>600</v>
      </c>
      <c r="I162" s="7">
        <f>+320</f>
        <v>320</v>
      </c>
      <c r="J162" s="7">
        <f>+1900</f>
        <v>1900</v>
      </c>
      <c r="K162" s="7">
        <f>+3300</f>
        <v>3300</v>
      </c>
      <c r="L162" s="7"/>
      <c r="M162" s="7">
        <f>+35000</f>
        <v>35000</v>
      </c>
      <c r="N162" s="7"/>
    </row>
    <row r="163">
      <c r="A163" s="1" t="s">
        <v>279</v>
      </c>
      <c r="B163" s="9" t="s">
        <v>4</v>
      </c>
      <c r="C163" s="13" t="s">
        <v>288</v>
      </c>
      <c r="D163" s="7"/>
      <c r="E163" s="7">
        <f>+190</f>
        <v>190</v>
      </c>
      <c r="F163" s="7">
        <f>+1000</f>
        <v>1000</v>
      </c>
      <c r="G163" s="7">
        <f>+2000</f>
        <v>2000</v>
      </c>
      <c r="H163" s="7">
        <f>+6600</f>
        <v>6600</v>
      </c>
      <c r="I163" s="7">
        <f>+1400</f>
        <v>1400</v>
      </c>
      <c r="J163" s="7">
        <f>+800</f>
        <v>800</v>
      </c>
      <c r="K163" s="7">
        <f>+3500</f>
        <v>3500</v>
      </c>
      <c r="L163" s="7">
        <f>+27500</f>
        <v>27500</v>
      </c>
      <c r="M163" s="7">
        <f>+50000</f>
        <v>50000</v>
      </c>
      <c r="N163" s="7"/>
    </row>
    <row r="164">
      <c r="A164" s="1" t="s">
        <v>279</v>
      </c>
      <c r="B164" s="9" t="s">
        <v>4</v>
      </c>
      <c r="C164" s="13" t="s">
        <v>289</v>
      </c>
      <c r="D164" s="7"/>
      <c r="E164" s="7">
        <f>+520</f>
        <v>520</v>
      </c>
      <c r="F164" s="8">
        <v>-185.0</v>
      </c>
      <c r="G164" s="8">
        <v>-125.0</v>
      </c>
      <c r="H164" s="7">
        <f>+160</f>
        <v>160</v>
      </c>
      <c r="I164" s="7">
        <f>+610</f>
        <v>610</v>
      </c>
      <c r="J164" s="7">
        <f>+950</f>
        <v>950</v>
      </c>
      <c r="K164" s="7">
        <f>+230</f>
        <v>230</v>
      </c>
      <c r="L164" s="7"/>
      <c r="M164" s="7">
        <f>+75000</f>
        <v>75000</v>
      </c>
      <c r="N164" s="7"/>
    </row>
    <row r="165">
      <c r="A165" s="1" t="s">
        <v>279</v>
      </c>
      <c r="B165" s="9" t="s">
        <v>4</v>
      </c>
      <c r="C165" s="13" t="s">
        <v>290</v>
      </c>
      <c r="D165" s="7"/>
      <c r="E165" s="7">
        <f>+100000</f>
        <v>100000</v>
      </c>
      <c r="F165" s="7">
        <f>+75000</f>
        <v>75000</v>
      </c>
      <c r="G165" s="7">
        <f t="shared" ref="G165:H165" si="102">+100000</f>
        <v>100000</v>
      </c>
      <c r="H165" s="7">
        <f t="shared" si="102"/>
        <v>100000</v>
      </c>
      <c r="I165" s="7">
        <f>+150000</f>
        <v>150000</v>
      </c>
      <c r="J165" s="7"/>
      <c r="K165" s="7"/>
      <c r="L165" s="7">
        <f>+550</f>
        <v>550</v>
      </c>
      <c r="M165" s="7"/>
      <c r="N165" s="7"/>
    </row>
    <row r="166">
      <c r="A166" s="1" t="s">
        <v>279</v>
      </c>
      <c r="B166" s="9" t="s">
        <v>4</v>
      </c>
      <c r="C166" s="13" t="s">
        <v>291</v>
      </c>
      <c r="D166" s="7"/>
      <c r="E166" s="7">
        <f>+10000</f>
        <v>10000</v>
      </c>
      <c r="F166" s="7">
        <f>+2500</f>
        <v>2500</v>
      </c>
      <c r="G166" s="7">
        <f>+900</f>
        <v>900</v>
      </c>
      <c r="H166" s="7">
        <f>+1300</f>
        <v>1300</v>
      </c>
      <c r="I166" s="7">
        <f>+5500</f>
        <v>5500</v>
      </c>
      <c r="J166" s="7">
        <f>+4000</f>
        <v>4000</v>
      </c>
      <c r="K166" s="7">
        <f>+10000</f>
        <v>10000</v>
      </c>
      <c r="L166" s="7">
        <f>+720</f>
        <v>720</v>
      </c>
      <c r="M166" s="7"/>
      <c r="N166" s="7"/>
    </row>
    <row r="167">
      <c r="A167" s="1" t="s">
        <v>279</v>
      </c>
      <c r="B167" s="9" t="s">
        <v>4</v>
      </c>
      <c r="C167" s="13" t="s">
        <v>292</v>
      </c>
      <c r="D167" s="7"/>
      <c r="E167" s="7">
        <f>+120</f>
        <v>120</v>
      </c>
      <c r="F167" s="7">
        <f>+400</f>
        <v>400</v>
      </c>
      <c r="G167" s="7">
        <f>+415</f>
        <v>415</v>
      </c>
      <c r="H167" s="7">
        <f>+3500</f>
        <v>3500</v>
      </c>
      <c r="I167" s="7">
        <f t="shared" ref="I167:J167" si="103">+25000</f>
        <v>25000</v>
      </c>
      <c r="J167" s="7">
        <f t="shared" si="103"/>
        <v>25000</v>
      </c>
      <c r="K167" s="7">
        <f>+50000</f>
        <v>50000</v>
      </c>
      <c r="L167" s="7">
        <f>+1500</f>
        <v>1500</v>
      </c>
      <c r="M167" s="7"/>
      <c r="N167" s="7"/>
    </row>
    <row r="168">
      <c r="A168" s="1" t="s">
        <v>279</v>
      </c>
      <c r="B168" s="9" t="s">
        <v>4</v>
      </c>
      <c r="C168" s="13" t="s">
        <v>293</v>
      </c>
      <c r="D168" s="7"/>
      <c r="E168" s="7">
        <f>+400</f>
        <v>400</v>
      </c>
      <c r="F168" s="7">
        <f>+900</f>
        <v>900</v>
      </c>
      <c r="G168" s="7">
        <f>+1200</f>
        <v>1200</v>
      </c>
      <c r="H168" s="7">
        <f>+500</f>
        <v>500</v>
      </c>
      <c r="I168" s="7">
        <f>+395</f>
        <v>395</v>
      </c>
      <c r="J168" s="7">
        <f>+240</f>
        <v>240</v>
      </c>
      <c r="K168" s="7">
        <f>+500</f>
        <v>500</v>
      </c>
      <c r="L168" s="7"/>
      <c r="M168" s="7"/>
      <c r="N168" s="7"/>
    </row>
    <row r="169">
      <c r="A169" s="1" t="s">
        <v>279</v>
      </c>
      <c r="B169" s="9" t="s">
        <v>4</v>
      </c>
      <c r="C169" s="13" t="s">
        <v>294</v>
      </c>
      <c r="D169" s="7"/>
      <c r="E169" s="7">
        <f t="shared" ref="E169:F169" si="104">+1400</f>
        <v>1400</v>
      </c>
      <c r="F169" s="7">
        <f t="shared" si="104"/>
        <v>1400</v>
      </c>
      <c r="G169" s="7">
        <f>+1900</f>
        <v>1900</v>
      </c>
      <c r="H169" s="7">
        <f>+5000</f>
        <v>5000</v>
      </c>
      <c r="I169" s="7">
        <f>+25000</f>
        <v>25000</v>
      </c>
      <c r="J169" s="7">
        <f>+50000</f>
        <v>50000</v>
      </c>
      <c r="K169" s="7">
        <f>+100000</f>
        <v>100000</v>
      </c>
      <c r="L169" s="7"/>
      <c r="M169" s="7"/>
      <c r="N169" s="7"/>
    </row>
    <row r="170">
      <c r="A170" s="1" t="s">
        <v>279</v>
      </c>
      <c r="B170" s="9" t="s">
        <v>4</v>
      </c>
      <c r="C170" s="13" t="s">
        <v>295</v>
      </c>
      <c r="D170" s="7"/>
      <c r="E170" s="7">
        <f t="shared" ref="E170:E171" si="106">+100000</f>
        <v>100000</v>
      </c>
      <c r="F170" s="7">
        <f>+65000</f>
        <v>65000</v>
      </c>
      <c r="G170" s="7">
        <f t="shared" ref="G170:H170" si="105">+100000</f>
        <v>100000</v>
      </c>
      <c r="H170" s="7">
        <f t="shared" si="105"/>
        <v>100000</v>
      </c>
      <c r="I170" s="7">
        <f>+150000</f>
        <v>150000</v>
      </c>
      <c r="J170" s="7"/>
      <c r="K170" s="7"/>
      <c r="L170" s="7"/>
      <c r="M170" s="7"/>
      <c r="N170" s="7"/>
    </row>
    <row r="171">
      <c r="A171" s="1" t="s">
        <v>279</v>
      </c>
      <c r="B171" s="9" t="s">
        <v>4</v>
      </c>
      <c r="C171" s="13" t="s">
        <v>296</v>
      </c>
      <c r="D171" s="7"/>
      <c r="E171" s="7">
        <f t="shared" si="106"/>
        <v>100000</v>
      </c>
      <c r="F171" s="7">
        <f t="shared" ref="F171:H171" si="107">+100000</f>
        <v>100000</v>
      </c>
      <c r="G171" s="7">
        <f t="shared" si="107"/>
        <v>100000</v>
      </c>
      <c r="H171" s="7">
        <f t="shared" si="107"/>
        <v>100000</v>
      </c>
      <c r="I171" s="7">
        <f>+200000</f>
        <v>200000</v>
      </c>
      <c r="J171" s="7"/>
      <c r="K171" s="7"/>
      <c r="L171" s="7"/>
      <c r="M171" s="7"/>
      <c r="N171" s="7"/>
    </row>
    <row r="172">
      <c r="A172" s="1" t="s">
        <v>279</v>
      </c>
      <c r="B172" s="9" t="s">
        <v>4</v>
      </c>
      <c r="C172" s="13" t="s">
        <v>297</v>
      </c>
      <c r="D172" s="7"/>
      <c r="E172" s="7">
        <f t="shared" ref="E172:E174" si="108">+250000</f>
        <v>250000</v>
      </c>
      <c r="F172" s="7">
        <f>+175000</f>
        <v>175000</v>
      </c>
      <c r="G172" s="7">
        <f>+150000</f>
        <v>150000</v>
      </c>
      <c r="H172" s="7">
        <f>+200000</f>
        <v>200000</v>
      </c>
      <c r="I172" s="7">
        <f>+250000</f>
        <v>250000</v>
      </c>
      <c r="J172" s="7"/>
      <c r="K172" s="7"/>
      <c r="L172" s="7"/>
      <c r="M172" s="7"/>
      <c r="N172" s="7"/>
    </row>
    <row r="173">
      <c r="A173" s="1" t="s">
        <v>279</v>
      </c>
      <c r="B173" s="9" t="s">
        <v>4</v>
      </c>
      <c r="C173" s="13" t="s">
        <v>298</v>
      </c>
      <c r="D173" s="7"/>
      <c r="E173" s="7">
        <f t="shared" si="108"/>
        <v>250000</v>
      </c>
      <c r="F173" s="7">
        <f>+225000</f>
        <v>225000</v>
      </c>
      <c r="G173" s="7">
        <f>+250000</f>
        <v>250000</v>
      </c>
      <c r="H173" s="7">
        <f t="shared" ref="H173:I173" si="109">+300000</f>
        <v>300000</v>
      </c>
      <c r="I173" s="7">
        <f t="shared" si="109"/>
        <v>300000</v>
      </c>
      <c r="J173" s="7"/>
      <c r="K173" s="7"/>
      <c r="L173" s="7"/>
      <c r="M173" s="7"/>
      <c r="N173" s="7"/>
    </row>
    <row r="174">
      <c r="A174" s="1" t="s">
        <v>279</v>
      </c>
      <c r="B174" s="9" t="s">
        <v>4</v>
      </c>
      <c r="C174" s="13" t="s">
        <v>299</v>
      </c>
      <c r="D174" s="7"/>
      <c r="E174" s="7">
        <f t="shared" si="108"/>
        <v>250000</v>
      </c>
      <c r="F174" s="7">
        <f>+250000</f>
        <v>250000</v>
      </c>
      <c r="G174" s="7">
        <f t="shared" ref="G174:I174" si="110">+500000</f>
        <v>500000</v>
      </c>
      <c r="H174" s="7">
        <f t="shared" si="110"/>
        <v>500000</v>
      </c>
      <c r="I174" s="7">
        <f t="shared" si="110"/>
        <v>500000</v>
      </c>
      <c r="J174" s="7"/>
      <c r="K174" s="7"/>
      <c r="L174" s="7"/>
      <c r="M174" s="7"/>
      <c r="N174" s="7"/>
    </row>
    <row r="175">
      <c r="B175" s="9"/>
      <c r="C175" s="3" t="s">
        <v>2</v>
      </c>
      <c r="D175" s="10">
        <v>45839.0</v>
      </c>
      <c r="E175" s="10">
        <v>45881.0</v>
      </c>
      <c r="F175" s="10">
        <v>45931.0</v>
      </c>
      <c r="G175" s="10">
        <v>45962.0</v>
      </c>
      <c r="H175" s="10">
        <v>45992.0</v>
      </c>
      <c r="I175" s="10">
        <v>45658.0</v>
      </c>
      <c r="J175" s="10">
        <v>45689.0</v>
      </c>
      <c r="K175" s="10">
        <v>45717.0</v>
      </c>
      <c r="L175" s="10">
        <v>45748.0</v>
      </c>
      <c r="M175" s="11">
        <v>45778.0</v>
      </c>
      <c r="N175" s="12"/>
    </row>
    <row r="176">
      <c r="A176" s="1" t="s">
        <v>300</v>
      </c>
      <c r="B176" s="9" t="s">
        <v>4</v>
      </c>
      <c r="C176" s="13" t="s">
        <v>301</v>
      </c>
      <c r="D176" s="7"/>
      <c r="E176" s="7">
        <f>+250</f>
        <v>250</v>
      </c>
      <c r="F176" s="7">
        <f>+350</f>
        <v>350</v>
      </c>
      <c r="G176" s="7">
        <f>+380</f>
        <v>380</v>
      </c>
      <c r="H176" s="7">
        <f>+450</f>
        <v>450</v>
      </c>
      <c r="I176" s="7">
        <f>+500</f>
        <v>500</v>
      </c>
      <c r="J176" s="7">
        <f>+210</f>
        <v>210</v>
      </c>
      <c r="K176" s="8">
        <v>-115.0</v>
      </c>
      <c r="L176" s="8">
        <v>-520.0</v>
      </c>
      <c r="M176" s="8">
        <v>-10000.0</v>
      </c>
      <c r="N176" s="8" t="s">
        <v>152</v>
      </c>
    </row>
    <row r="177">
      <c r="A177" s="1" t="s">
        <v>300</v>
      </c>
      <c r="B177" s="9" t="s">
        <v>4</v>
      </c>
      <c r="C177" s="13" t="s">
        <v>302</v>
      </c>
      <c r="D177" s="7"/>
      <c r="E177" s="8">
        <v>-185.0</v>
      </c>
      <c r="F177" s="8">
        <v>-125.0</v>
      </c>
      <c r="G177" s="8">
        <v>-240.0</v>
      </c>
      <c r="H177" s="8">
        <v>-235.0</v>
      </c>
      <c r="I177" s="8">
        <v>-600.0</v>
      </c>
      <c r="J177" s="8">
        <v>-475.0</v>
      </c>
      <c r="K177" s="8">
        <v>-135.0</v>
      </c>
      <c r="L177" s="8">
        <v>-205.0</v>
      </c>
      <c r="M177" s="7">
        <f>+190</f>
        <v>190</v>
      </c>
      <c r="N177" s="8" t="s">
        <v>152</v>
      </c>
    </row>
    <row r="178">
      <c r="A178" s="1" t="s">
        <v>300</v>
      </c>
      <c r="B178" s="9" t="s">
        <v>4</v>
      </c>
      <c r="C178" s="13" t="s">
        <v>303</v>
      </c>
      <c r="D178" s="7"/>
      <c r="E178" s="7">
        <f>+265</f>
        <v>265</v>
      </c>
      <c r="F178" s="8">
        <v>-160.0</v>
      </c>
      <c r="G178" s="8">
        <v>-320.0</v>
      </c>
      <c r="H178" s="8">
        <v>-215.0</v>
      </c>
      <c r="I178" s="8">
        <v>-200.0</v>
      </c>
      <c r="J178" s="8">
        <v>-600.0</v>
      </c>
      <c r="K178" s="8">
        <v>-600.0</v>
      </c>
      <c r="L178" s="8">
        <v>-1100.0</v>
      </c>
      <c r="M178" s="7"/>
      <c r="N178" s="8" t="s">
        <v>152</v>
      </c>
    </row>
    <row r="179">
      <c r="A179" s="1" t="s">
        <v>300</v>
      </c>
      <c r="B179" s="9" t="s">
        <v>4</v>
      </c>
      <c r="C179" s="13" t="s">
        <v>304</v>
      </c>
      <c r="D179" s="7"/>
      <c r="E179" s="7">
        <f>+300</f>
        <v>300</v>
      </c>
      <c r="F179" s="7">
        <f>+200</f>
        <v>200</v>
      </c>
      <c r="G179" s="7">
        <f>+165</f>
        <v>165</v>
      </c>
      <c r="H179" s="7">
        <f>+140</f>
        <v>140</v>
      </c>
      <c r="I179" s="8">
        <v>-165.0</v>
      </c>
      <c r="J179" s="7">
        <f>+175</f>
        <v>175</v>
      </c>
      <c r="K179" s="7">
        <f>+350</f>
        <v>350</v>
      </c>
      <c r="L179" s="7">
        <f t="shared" ref="L179:L180" si="111">+340</f>
        <v>340</v>
      </c>
      <c r="M179" s="8">
        <v>-170.0</v>
      </c>
      <c r="N179" s="7"/>
    </row>
    <row r="180">
      <c r="A180" s="1" t="s">
        <v>300</v>
      </c>
      <c r="B180" s="9" t="s">
        <v>4</v>
      </c>
      <c r="C180" s="13" t="s">
        <v>305</v>
      </c>
      <c r="D180" s="7"/>
      <c r="E180" s="7">
        <f>+575</f>
        <v>575</v>
      </c>
      <c r="F180" s="7">
        <f>+2200</f>
        <v>2200</v>
      </c>
      <c r="G180" s="7">
        <f>+1200</f>
        <v>1200</v>
      </c>
      <c r="H180" s="7">
        <f>+425</f>
        <v>425</v>
      </c>
      <c r="I180" s="7">
        <f>+350</f>
        <v>350</v>
      </c>
      <c r="J180" s="7">
        <f>+225</f>
        <v>225</v>
      </c>
      <c r="K180" s="7">
        <f>+110</f>
        <v>110</v>
      </c>
      <c r="L180" s="7">
        <f t="shared" si="111"/>
        <v>340</v>
      </c>
      <c r="M180" s="7">
        <f>+1650</f>
        <v>1650</v>
      </c>
      <c r="N180" s="7"/>
    </row>
    <row r="181">
      <c r="A181" s="1" t="s">
        <v>300</v>
      </c>
      <c r="B181" s="9" t="s">
        <v>4</v>
      </c>
      <c r="C181" s="13" t="s">
        <v>306</v>
      </c>
      <c r="D181" s="7"/>
      <c r="E181" s="7">
        <f>+2750</f>
        <v>2750</v>
      </c>
      <c r="F181" s="7">
        <f>+450</f>
        <v>450</v>
      </c>
      <c r="G181" s="7">
        <f t="shared" ref="G181:H181" si="112">+750</f>
        <v>750</v>
      </c>
      <c r="H181" s="7">
        <f t="shared" si="112"/>
        <v>750</v>
      </c>
      <c r="I181" s="7">
        <f>+1800</f>
        <v>1800</v>
      </c>
      <c r="J181" s="7">
        <f>+6500</f>
        <v>6500</v>
      </c>
      <c r="K181" s="7">
        <f>+20000</f>
        <v>20000</v>
      </c>
      <c r="L181" s="7">
        <f>+4000</f>
        <v>4000</v>
      </c>
      <c r="M181" s="7">
        <f>+6000</f>
        <v>6000</v>
      </c>
      <c r="N181" s="7"/>
    </row>
    <row r="182">
      <c r="A182" s="1" t="s">
        <v>300</v>
      </c>
      <c r="B182" s="9" t="s">
        <v>4</v>
      </c>
      <c r="C182" s="13" t="s">
        <v>307</v>
      </c>
      <c r="D182" s="7"/>
      <c r="E182" s="8">
        <v>-110.0</v>
      </c>
      <c r="F182" s="8">
        <v>-150.0</v>
      </c>
      <c r="G182" s="8">
        <v>-120.0</v>
      </c>
      <c r="H182" s="8">
        <v>-105.0</v>
      </c>
      <c r="I182" s="7">
        <f>+280</f>
        <v>280</v>
      </c>
      <c r="J182" s="7">
        <f>+1600</f>
        <v>1600</v>
      </c>
      <c r="K182" s="7">
        <f>+2500</f>
        <v>2500</v>
      </c>
      <c r="L182" s="7">
        <f>+2000</f>
        <v>2000</v>
      </c>
      <c r="M182" s="7">
        <f>+9000</f>
        <v>9000</v>
      </c>
      <c r="N182" s="7"/>
    </row>
    <row r="183">
      <c r="A183" s="1" t="s">
        <v>300</v>
      </c>
      <c r="B183" s="9" t="s">
        <v>4</v>
      </c>
      <c r="C183" s="13" t="s">
        <v>308</v>
      </c>
      <c r="D183" s="7"/>
      <c r="E183" s="7">
        <f>+225</f>
        <v>225</v>
      </c>
      <c r="F183" s="7">
        <f>+550</f>
        <v>550</v>
      </c>
      <c r="G183" s="7">
        <f>+1400</f>
        <v>1400</v>
      </c>
      <c r="H183" s="7">
        <f>+1550</f>
        <v>1550</v>
      </c>
      <c r="I183" s="7">
        <f>+650</f>
        <v>650</v>
      </c>
      <c r="J183" s="7">
        <f>+1300</f>
        <v>1300</v>
      </c>
      <c r="K183" s="7">
        <f>+3300</f>
        <v>3300</v>
      </c>
      <c r="L183" s="7">
        <f>+1400</f>
        <v>1400</v>
      </c>
      <c r="M183" s="7"/>
      <c r="N183" s="7"/>
    </row>
    <row r="184">
      <c r="A184" s="1" t="s">
        <v>300</v>
      </c>
      <c r="B184" s="9" t="s">
        <v>4</v>
      </c>
      <c r="C184" s="13" t="s">
        <v>309</v>
      </c>
      <c r="D184" s="7"/>
      <c r="E184" s="7">
        <f>+1450</f>
        <v>1450</v>
      </c>
      <c r="F184" s="7">
        <f>+2800</f>
        <v>2800</v>
      </c>
      <c r="G184" s="7">
        <f>+3500</f>
        <v>3500</v>
      </c>
      <c r="H184" s="7">
        <f>+1400</f>
        <v>1400</v>
      </c>
      <c r="I184" s="7">
        <f>+1700</f>
        <v>1700</v>
      </c>
      <c r="J184" s="7">
        <f>+600</f>
        <v>600</v>
      </c>
      <c r="K184" s="7">
        <f>+400</f>
        <v>400</v>
      </c>
      <c r="L184" s="7">
        <f>+2600</f>
        <v>2600</v>
      </c>
      <c r="M184" s="7"/>
      <c r="N184" s="7"/>
    </row>
    <row r="185">
      <c r="A185" s="1" t="s">
        <v>300</v>
      </c>
      <c r="B185" s="9" t="s">
        <v>4</v>
      </c>
      <c r="C185" s="13" t="s">
        <v>310</v>
      </c>
      <c r="D185" s="7"/>
      <c r="E185" s="7">
        <f>+400</f>
        <v>400</v>
      </c>
      <c r="F185" s="7">
        <f>+900</f>
        <v>900</v>
      </c>
      <c r="G185" s="7">
        <f>+1900</f>
        <v>1900</v>
      </c>
      <c r="H185" s="7">
        <f>+1600</f>
        <v>1600</v>
      </c>
      <c r="I185" s="7">
        <f>+8000</f>
        <v>8000</v>
      </c>
      <c r="J185" s="7">
        <f>+4000</f>
        <v>4000</v>
      </c>
      <c r="K185" s="7">
        <f>+550</f>
        <v>550</v>
      </c>
      <c r="L185" s="7">
        <f>+3400</f>
        <v>3400</v>
      </c>
      <c r="M185" s="7"/>
      <c r="N185" s="7"/>
    </row>
    <row r="186">
      <c r="A186" s="1" t="s">
        <v>300</v>
      </c>
      <c r="B186" s="9" t="s">
        <v>4</v>
      </c>
      <c r="C186" s="13" t="s">
        <v>311</v>
      </c>
      <c r="D186" s="7"/>
      <c r="E186" s="7">
        <f>+1000</f>
        <v>1000</v>
      </c>
      <c r="F186" s="7">
        <f>+350</f>
        <v>350</v>
      </c>
      <c r="G186" s="7">
        <f>+1200</f>
        <v>1200</v>
      </c>
      <c r="H186" s="7">
        <f>+1550</f>
        <v>1550</v>
      </c>
      <c r="I186" s="7">
        <f>+2800</f>
        <v>2800</v>
      </c>
      <c r="J186" s="7">
        <f>+7500</f>
        <v>7500</v>
      </c>
      <c r="K186" s="7">
        <f>+10000</f>
        <v>10000</v>
      </c>
      <c r="L186" s="7"/>
      <c r="M186" s="7"/>
      <c r="N186" s="7"/>
    </row>
    <row r="187">
      <c r="A187" s="1" t="s">
        <v>300</v>
      </c>
      <c r="B187" s="9" t="s">
        <v>4</v>
      </c>
      <c r="C187" s="13" t="s">
        <v>312</v>
      </c>
      <c r="D187" s="7"/>
      <c r="E187" s="7">
        <f>+1550</f>
        <v>1550</v>
      </c>
      <c r="F187" s="7">
        <f>+4500</f>
        <v>4500</v>
      </c>
      <c r="G187" s="7">
        <f t="shared" ref="G187:H187" si="113">+15000</f>
        <v>15000</v>
      </c>
      <c r="H187" s="7">
        <f t="shared" si="113"/>
        <v>15000</v>
      </c>
      <c r="I187" s="7">
        <f>+6600</f>
        <v>6600</v>
      </c>
      <c r="J187" s="7">
        <f>+12500</f>
        <v>12500</v>
      </c>
      <c r="K187" s="7">
        <f>+15000</f>
        <v>15000</v>
      </c>
      <c r="L187" s="7"/>
      <c r="M187" s="7"/>
      <c r="N187" s="7"/>
    </row>
    <row r="188">
      <c r="A188" s="1" t="s">
        <v>300</v>
      </c>
      <c r="B188" s="9" t="s">
        <v>4</v>
      </c>
      <c r="C188" s="13" t="s">
        <v>313</v>
      </c>
      <c r="D188" s="7"/>
      <c r="E188" s="7">
        <f>+215</f>
        <v>215</v>
      </c>
      <c r="F188" s="7">
        <f>+600</f>
        <v>600</v>
      </c>
      <c r="G188" s="7">
        <f>+570</f>
        <v>570</v>
      </c>
      <c r="H188" s="7">
        <f>+1000</f>
        <v>1000</v>
      </c>
      <c r="I188" s="7">
        <f>+12500</f>
        <v>12500</v>
      </c>
      <c r="J188" s="7">
        <f>+15000</f>
        <v>15000</v>
      </c>
      <c r="K188" s="7"/>
      <c r="L188" s="7"/>
      <c r="M188" s="7"/>
      <c r="N188" s="7"/>
    </row>
    <row r="189">
      <c r="A189" s="1" t="s">
        <v>300</v>
      </c>
      <c r="B189" s="9" t="s">
        <v>4</v>
      </c>
      <c r="C189" s="13" t="s">
        <v>314</v>
      </c>
      <c r="D189" s="7"/>
      <c r="E189" s="7">
        <f>+3100</f>
        <v>3100</v>
      </c>
      <c r="F189" s="7">
        <f>+30000</f>
        <v>30000</v>
      </c>
      <c r="G189" s="7">
        <f>+20000</f>
        <v>20000</v>
      </c>
      <c r="H189" s="7">
        <f>+17500</f>
        <v>17500</v>
      </c>
      <c r="I189" s="7">
        <f>+50000</f>
        <v>50000</v>
      </c>
      <c r="J189" s="7">
        <f>+60000</f>
        <v>60000</v>
      </c>
      <c r="K189" s="7"/>
      <c r="L189" s="7"/>
      <c r="M189" s="7"/>
      <c r="N189" s="7"/>
    </row>
    <row r="190">
      <c r="A190" s="1" t="s">
        <v>300</v>
      </c>
      <c r="B190" s="9" t="s">
        <v>4</v>
      </c>
      <c r="C190" s="13" t="s">
        <v>315</v>
      </c>
      <c r="D190" s="7"/>
      <c r="E190" s="7">
        <f>+75000</f>
        <v>75000</v>
      </c>
      <c r="F190" s="7">
        <f>+200000</f>
        <v>200000</v>
      </c>
      <c r="G190" s="7">
        <f>+150000</f>
        <v>150000</v>
      </c>
      <c r="H190" s="7">
        <f t="shared" ref="H190:I190" si="114">+450000</f>
        <v>450000</v>
      </c>
      <c r="I190" s="7">
        <f t="shared" si="114"/>
        <v>450000</v>
      </c>
      <c r="J190" s="7"/>
      <c r="K190" s="7"/>
      <c r="L190" s="7"/>
      <c r="M190" s="7"/>
      <c r="N190" s="7"/>
    </row>
    <row r="191">
      <c r="A191" s="1" t="s">
        <v>300</v>
      </c>
      <c r="B191" s="9" t="s">
        <v>4</v>
      </c>
      <c r="C191" s="13" t="s">
        <v>316</v>
      </c>
      <c r="D191" s="7"/>
      <c r="E191" s="7">
        <f>+50000</f>
        <v>50000</v>
      </c>
      <c r="F191" s="7">
        <f>+100000</f>
        <v>100000</v>
      </c>
      <c r="G191" s="7">
        <f>+200000</f>
        <v>200000</v>
      </c>
      <c r="H191" s="7">
        <f t="shared" ref="H191:I191" si="115">+450000</f>
        <v>450000</v>
      </c>
      <c r="I191" s="7">
        <f t="shared" si="115"/>
        <v>450000</v>
      </c>
      <c r="J191" s="7"/>
      <c r="K191" s="7"/>
      <c r="L191" s="7"/>
      <c r="M191" s="7"/>
      <c r="N191" s="7"/>
    </row>
    <row r="192">
      <c r="A192" s="1" t="s">
        <v>300</v>
      </c>
      <c r="B192" s="9" t="s">
        <v>4</v>
      </c>
      <c r="C192" s="13" t="s">
        <v>317</v>
      </c>
      <c r="D192" s="7"/>
      <c r="E192" s="7">
        <f t="shared" ref="E192:E193" si="117">+75000</f>
        <v>75000</v>
      </c>
      <c r="F192" s="7">
        <f>+150000</f>
        <v>150000</v>
      </c>
      <c r="G192" s="7">
        <f>+300000</f>
        <v>300000</v>
      </c>
      <c r="H192" s="7">
        <f t="shared" ref="H192:I192" si="116">+450000</f>
        <v>450000</v>
      </c>
      <c r="I192" s="7">
        <f t="shared" si="116"/>
        <v>450000</v>
      </c>
      <c r="J192" s="7"/>
      <c r="K192" s="7"/>
      <c r="L192" s="7"/>
      <c r="M192" s="7"/>
      <c r="N192" s="7"/>
    </row>
    <row r="193">
      <c r="A193" s="1" t="s">
        <v>300</v>
      </c>
      <c r="B193" s="9" t="s">
        <v>4</v>
      </c>
      <c r="C193" s="13" t="s">
        <v>318</v>
      </c>
      <c r="D193" s="7"/>
      <c r="E193" s="7">
        <f t="shared" si="117"/>
        <v>75000</v>
      </c>
      <c r="F193" s="7">
        <f t="shared" ref="F193:F194" si="119">+200000</f>
        <v>200000</v>
      </c>
      <c r="G193" s="7">
        <f>+350000</f>
        <v>350000</v>
      </c>
      <c r="H193" s="7">
        <f t="shared" ref="H193:I193" si="118">+450000</f>
        <v>450000</v>
      </c>
      <c r="I193" s="7">
        <f t="shared" si="118"/>
        <v>450000</v>
      </c>
      <c r="J193" s="7"/>
      <c r="K193" s="7"/>
      <c r="L193" s="7"/>
      <c r="M193" s="7"/>
      <c r="N193" s="7"/>
    </row>
    <row r="194">
      <c r="A194" s="1" t="s">
        <v>300</v>
      </c>
      <c r="B194" s="9" t="s">
        <v>4</v>
      </c>
      <c r="C194" s="13" t="s">
        <v>319</v>
      </c>
      <c r="D194" s="7"/>
      <c r="E194" s="7">
        <f>+40000</f>
        <v>40000</v>
      </c>
      <c r="F194" s="7">
        <f t="shared" si="119"/>
        <v>200000</v>
      </c>
      <c r="G194" s="7">
        <f>+400000</f>
        <v>400000</v>
      </c>
      <c r="H194" s="7">
        <f t="shared" ref="H194:I194" si="120">+450000</f>
        <v>450000</v>
      </c>
      <c r="I194" s="7">
        <f t="shared" si="120"/>
        <v>450000</v>
      </c>
      <c r="J194" s="7"/>
      <c r="K194" s="7"/>
      <c r="L194" s="7"/>
      <c r="M194" s="7"/>
      <c r="N194" s="7"/>
    </row>
    <row r="195">
      <c r="A195" s="1" t="s">
        <v>300</v>
      </c>
      <c r="B195" s="9" t="s">
        <v>4</v>
      </c>
      <c r="C195" s="13" t="s">
        <v>320</v>
      </c>
      <c r="D195" s="7"/>
      <c r="E195" s="7">
        <f>+75000</f>
        <v>75000</v>
      </c>
      <c r="F195" s="7">
        <f>+450000</f>
        <v>450000</v>
      </c>
      <c r="G195" s="7">
        <f t="shared" ref="G195:H195" si="121">+500000</f>
        <v>500000</v>
      </c>
      <c r="H195" s="7">
        <f t="shared" si="121"/>
        <v>500000</v>
      </c>
      <c r="I195" s="7">
        <f>+450000</f>
        <v>450000</v>
      </c>
      <c r="J195" s="7"/>
      <c r="K195" s="7"/>
      <c r="L195" s="7"/>
      <c r="M195" s="7"/>
      <c r="N195" s="7"/>
    </row>
    <row r="196">
      <c r="B196" s="9"/>
      <c r="C196" s="3" t="s">
        <v>2</v>
      </c>
      <c r="D196" s="10">
        <v>45839.0</v>
      </c>
      <c r="E196" s="10">
        <v>45876.0</v>
      </c>
      <c r="F196" s="10">
        <v>45931.0</v>
      </c>
      <c r="G196" s="10">
        <v>45962.0</v>
      </c>
      <c r="H196" s="10">
        <v>45992.0</v>
      </c>
      <c r="I196" s="10">
        <v>45658.0</v>
      </c>
      <c r="J196" s="10">
        <v>45689.0</v>
      </c>
      <c r="K196" s="10">
        <v>45717.0</v>
      </c>
      <c r="L196" s="10">
        <v>45748.0</v>
      </c>
      <c r="M196" s="11">
        <v>45778.0</v>
      </c>
      <c r="N196" s="12"/>
    </row>
    <row r="197">
      <c r="A197" s="1" t="s">
        <v>321</v>
      </c>
      <c r="B197" s="9" t="s">
        <v>4</v>
      </c>
      <c r="C197" s="13" t="s">
        <v>322</v>
      </c>
      <c r="D197" s="7"/>
      <c r="E197" s="7">
        <f>+500</f>
        <v>500</v>
      </c>
      <c r="F197" s="7">
        <f>+150</f>
        <v>150</v>
      </c>
      <c r="G197" s="7">
        <f>+160</f>
        <v>160</v>
      </c>
      <c r="H197" s="8">
        <v>-105.0</v>
      </c>
      <c r="I197" s="8">
        <v>-125.0</v>
      </c>
      <c r="J197" s="7">
        <f>+105</f>
        <v>105</v>
      </c>
      <c r="K197" s="7">
        <f>+140</f>
        <v>140</v>
      </c>
      <c r="L197" s="8">
        <v>-275.0</v>
      </c>
      <c r="M197" s="7"/>
      <c r="N197" s="8" t="s">
        <v>152</v>
      </c>
    </row>
    <row r="198">
      <c r="A198" s="1" t="s">
        <v>321</v>
      </c>
      <c r="B198" s="9" t="s">
        <v>4</v>
      </c>
      <c r="C198" s="13" t="s">
        <v>323</v>
      </c>
      <c r="D198" s="7"/>
      <c r="E198" s="7">
        <f>+115</f>
        <v>115</v>
      </c>
      <c r="F198" s="7">
        <f>+300</f>
        <v>300</v>
      </c>
      <c r="G198" s="7">
        <f>+150</f>
        <v>150</v>
      </c>
      <c r="H198" s="7">
        <f>+230</f>
        <v>230</v>
      </c>
      <c r="I198" s="7">
        <f>+320</f>
        <v>320</v>
      </c>
      <c r="J198" s="7">
        <f>+150</f>
        <v>150</v>
      </c>
      <c r="K198" s="8">
        <v>-175.0</v>
      </c>
      <c r="L198" s="8">
        <v>-135.0</v>
      </c>
      <c r="M198" s="7"/>
      <c r="N198" s="8" t="s">
        <v>152</v>
      </c>
    </row>
    <row r="199">
      <c r="A199" s="1" t="s">
        <v>321</v>
      </c>
      <c r="B199" s="9" t="s">
        <v>4</v>
      </c>
      <c r="C199" s="13" t="s">
        <v>324</v>
      </c>
      <c r="D199" s="7"/>
      <c r="E199" s="7">
        <f>+290</f>
        <v>290</v>
      </c>
      <c r="F199" s="8">
        <v>-110.0</v>
      </c>
      <c r="G199" s="8">
        <v>-250.0</v>
      </c>
      <c r="H199" s="8">
        <v>-420.0</v>
      </c>
      <c r="I199" s="8">
        <v>-1300.0</v>
      </c>
      <c r="J199" s="8">
        <v>-2100.0</v>
      </c>
      <c r="K199" s="8">
        <v>-15000.0</v>
      </c>
      <c r="L199" s="7"/>
      <c r="M199" s="7"/>
      <c r="N199" s="8" t="s">
        <v>152</v>
      </c>
    </row>
    <row r="200">
      <c r="A200" s="1" t="s">
        <v>321</v>
      </c>
      <c r="B200" s="9" t="s">
        <v>4</v>
      </c>
      <c r="C200" s="13" t="s">
        <v>325</v>
      </c>
      <c r="D200" s="7"/>
      <c r="E200" s="7">
        <f>+200</f>
        <v>200</v>
      </c>
      <c r="F200" s="8">
        <v>-500.0</v>
      </c>
      <c r="G200" s="8">
        <v>-300.0</v>
      </c>
      <c r="H200" s="8">
        <v>-170.0</v>
      </c>
      <c r="I200" s="8">
        <v>-620.0</v>
      </c>
      <c r="J200" s="8">
        <v>-450.0</v>
      </c>
      <c r="K200" s="8">
        <v>-250.0</v>
      </c>
      <c r="L200" s="8">
        <v>-225.0</v>
      </c>
      <c r="M200" s="7"/>
      <c r="N200" s="7"/>
    </row>
    <row r="201">
      <c r="A201" s="1" t="s">
        <v>321</v>
      </c>
      <c r="B201" s="9" t="s">
        <v>4</v>
      </c>
      <c r="C201" s="13" t="s">
        <v>326</v>
      </c>
      <c r="D201" s="7"/>
      <c r="E201" s="7">
        <f>+750</f>
        <v>750</v>
      </c>
      <c r="F201" s="7">
        <f>+4000</f>
        <v>4000</v>
      </c>
      <c r="G201" s="7">
        <f>+4450</f>
        <v>4450</v>
      </c>
      <c r="H201" s="7">
        <f>+15000</f>
        <v>15000</v>
      </c>
      <c r="I201" s="7">
        <f>+75000</f>
        <v>75000</v>
      </c>
      <c r="J201" s="7">
        <f>+15000</f>
        <v>15000</v>
      </c>
      <c r="K201" s="7">
        <f>+2500</f>
        <v>2500</v>
      </c>
      <c r="L201" s="7">
        <f>+1150</f>
        <v>1150</v>
      </c>
      <c r="M201" s="7"/>
      <c r="N201" s="7"/>
    </row>
    <row r="202">
      <c r="A202" s="1" t="s">
        <v>321</v>
      </c>
      <c r="B202" s="9" t="s">
        <v>4</v>
      </c>
      <c r="C202" s="13" t="s">
        <v>327</v>
      </c>
      <c r="D202" s="7"/>
      <c r="E202" s="7">
        <f>+900</f>
        <v>900</v>
      </c>
      <c r="F202" s="7">
        <f>+2500</f>
        <v>2500</v>
      </c>
      <c r="G202" s="7">
        <f>+2250</f>
        <v>2250</v>
      </c>
      <c r="H202" s="7">
        <f>+870</f>
        <v>870</v>
      </c>
      <c r="I202" s="7">
        <f>+510</f>
        <v>510</v>
      </c>
      <c r="J202" s="7">
        <f>+400</f>
        <v>400</v>
      </c>
      <c r="K202" s="7">
        <f>+300</f>
        <v>300</v>
      </c>
      <c r="L202" s="7">
        <f>+3300</f>
        <v>3300</v>
      </c>
      <c r="M202" s="7"/>
      <c r="N202" s="7"/>
    </row>
    <row r="203">
      <c r="A203" s="1" t="s">
        <v>321</v>
      </c>
      <c r="B203" s="9" t="s">
        <v>4</v>
      </c>
      <c r="C203" s="13" t="s">
        <v>328</v>
      </c>
      <c r="D203" s="7"/>
      <c r="E203" s="8">
        <v>-130.0</v>
      </c>
      <c r="F203" s="7">
        <f>+400</f>
        <v>400</v>
      </c>
      <c r="G203" s="7">
        <f>+1000</f>
        <v>1000</v>
      </c>
      <c r="H203" s="7">
        <f>+1550</f>
        <v>1550</v>
      </c>
      <c r="I203" s="7">
        <f>+4600</f>
        <v>4600</v>
      </c>
      <c r="J203" s="7">
        <f>+5500</f>
        <v>5500</v>
      </c>
      <c r="K203" s="7">
        <f>+25000</f>
        <v>25000</v>
      </c>
      <c r="L203" s="7">
        <f>+20000</f>
        <v>20000</v>
      </c>
      <c r="M203" s="7"/>
      <c r="N203" s="7"/>
    </row>
    <row r="204">
      <c r="A204" s="1" t="s">
        <v>321</v>
      </c>
      <c r="B204" s="9" t="s">
        <v>4</v>
      </c>
      <c r="C204" s="13" t="s">
        <v>329</v>
      </c>
      <c r="D204" s="7"/>
      <c r="E204" s="7">
        <f>+140</f>
        <v>140</v>
      </c>
      <c r="F204" s="7">
        <f>+250</f>
        <v>250</v>
      </c>
      <c r="G204" s="7">
        <f>+120</f>
        <v>120</v>
      </c>
      <c r="H204" s="8">
        <v>-120.0</v>
      </c>
      <c r="I204" s="7">
        <f>+510</f>
        <v>510</v>
      </c>
      <c r="J204" s="7">
        <f>+650</f>
        <v>650</v>
      </c>
      <c r="K204" s="7">
        <f>+900</f>
        <v>900</v>
      </c>
      <c r="L204" s="7">
        <f>+25000</f>
        <v>25000</v>
      </c>
      <c r="M204" s="7"/>
      <c r="N204" s="7"/>
    </row>
    <row r="205">
      <c r="A205" s="1" t="s">
        <v>321</v>
      </c>
      <c r="B205" s="9" t="s">
        <v>4</v>
      </c>
      <c r="C205" s="13" t="s">
        <v>330</v>
      </c>
      <c r="D205" s="7"/>
      <c r="E205" s="7">
        <f>+450</f>
        <v>450</v>
      </c>
      <c r="F205" s="7">
        <f>+300</f>
        <v>300</v>
      </c>
      <c r="G205" s="7">
        <f>+570</f>
        <v>570</v>
      </c>
      <c r="H205" s="7">
        <f>+1100</f>
        <v>1100</v>
      </c>
      <c r="I205" s="7">
        <f>+780</f>
        <v>780</v>
      </c>
      <c r="J205" s="7">
        <f>+1000</f>
        <v>1000</v>
      </c>
      <c r="K205" s="7">
        <f>+4000</f>
        <v>4000</v>
      </c>
      <c r="L205" s="7">
        <f>+50000</f>
        <v>50000</v>
      </c>
      <c r="M205" s="7"/>
      <c r="N205" s="7"/>
    </row>
    <row r="206">
      <c r="A206" s="1" t="s">
        <v>321</v>
      </c>
      <c r="B206" s="9" t="s">
        <v>4</v>
      </c>
      <c r="C206" s="13" t="s">
        <v>331</v>
      </c>
      <c r="D206" s="7"/>
      <c r="E206" s="7">
        <f>+1400</f>
        <v>1400</v>
      </c>
      <c r="F206" s="7">
        <f>+450</f>
        <v>450</v>
      </c>
      <c r="G206" s="7">
        <f>+1150</f>
        <v>1150</v>
      </c>
      <c r="H206" s="7">
        <f>+3250</f>
        <v>3250</v>
      </c>
      <c r="I206" s="7">
        <f>+20000</f>
        <v>20000</v>
      </c>
      <c r="J206" s="7">
        <f>+25000</f>
        <v>25000</v>
      </c>
      <c r="K206" s="7">
        <f>+40000</f>
        <v>40000</v>
      </c>
      <c r="L206" s="7"/>
      <c r="M206" s="7"/>
      <c r="N206" s="7"/>
    </row>
    <row r="207">
      <c r="A207" s="1" t="s">
        <v>321</v>
      </c>
      <c r="B207" s="9" t="s">
        <v>4</v>
      </c>
      <c r="C207" s="13" t="s">
        <v>332</v>
      </c>
      <c r="D207" s="7"/>
      <c r="E207" s="7">
        <f>+4000</f>
        <v>4000</v>
      </c>
      <c r="F207" s="7">
        <f>+10000</f>
        <v>10000</v>
      </c>
      <c r="G207" s="7">
        <f>+20000</f>
        <v>20000</v>
      </c>
      <c r="H207" s="7">
        <f>+40000</f>
        <v>40000</v>
      </c>
      <c r="I207" s="7">
        <f>+30000</f>
        <v>30000</v>
      </c>
      <c r="J207" s="7">
        <f>+20000</f>
        <v>20000</v>
      </c>
      <c r="K207" s="7">
        <f>+50000</f>
        <v>50000</v>
      </c>
      <c r="L207" s="7"/>
      <c r="M207" s="7"/>
      <c r="N207" s="7"/>
    </row>
    <row r="208">
      <c r="A208" s="1" t="s">
        <v>321</v>
      </c>
      <c r="B208" s="9" t="s">
        <v>4</v>
      </c>
      <c r="C208" s="13" t="s">
        <v>333</v>
      </c>
      <c r="D208" s="7"/>
      <c r="E208" s="7">
        <f t="shared" ref="E208:F208" si="122">+50000</f>
        <v>50000</v>
      </c>
      <c r="F208" s="7">
        <f t="shared" si="122"/>
        <v>50000</v>
      </c>
      <c r="G208" s="7">
        <f>+100000</f>
        <v>100000</v>
      </c>
      <c r="H208" s="7">
        <f>+175000</f>
        <v>175000</v>
      </c>
      <c r="I208" s="7">
        <f>+100000</f>
        <v>100000</v>
      </c>
      <c r="J208" s="7">
        <f>+125000</f>
        <v>125000</v>
      </c>
      <c r="K208" s="7">
        <f>+100000</f>
        <v>100000</v>
      </c>
      <c r="L208" s="7"/>
      <c r="M208" s="7"/>
      <c r="N208" s="7"/>
    </row>
    <row r="209">
      <c r="A209" s="1" t="s">
        <v>321</v>
      </c>
      <c r="B209" s="9" t="s">
        <v>4</v>
      </c>
      <c r="C209" s="13" t="s">
        <v>334</v>
      </c>
      <c r="D209" s="7"/>
      <c r="E209" s="7">
        <f>+750000</f>
        <v>750000</v>
      </c>
      <c r="F209" s="7">
        <f>+200000</f>
        <v>200000</v>
      </c>
      <c r="G209" s="7">
        <f t="shared" ref="G209:H209" si="123">+50000</f>
        <v>50000</v>
      </c>
      <c r="H209" s="7">
        <f t="shared" si="123"/>
        <v>50000</v>
      </c>
      <c r="I209" s="7">
        <f>+7000</f>
        <v>7000</v>
      </c>
      <c r="J209" s="7">
        <f>+10000</f>
        <v>10000</v>
      </c>
      <c r="K209" s="7"/>
      <c r="L209" s="7"/>
      <c r="M209" s="7"/>
      <c r="N209" s="7"/>
    </row>
    <row r="210">
      <c r="A210" s="1" t="s">
        <v>321</v>
      </c>
      <c r="B210" s="9" t="s">
        <v>4</v>
      </c>
      <c r="C210" s="13" t="s">
        <v>335</v>
      </c>
      <c r="D210" s="7"/>
      <c r="E210" s="7">
        <f t="shared" ref="E210:F210" si="124">+4000</f>
        <v>4000</v>
      </c>
      <c r="F210" s="7">
        <f t="shared" si="124"/>
        <v>4000</v>
      </c>
      <c r="G210" s="7">
        <f>+20000</f>
        <v>20000</v>
      </c>
      <c r="H210" s="7">
        <f>+50000</f>
        <v>50000</v>
      </c>
      <c r="I210" s="7">
        <f>+8000</f>
        <v>8000</v>
      </c>
      <c r="J210" s="7">
        <f>+40000</f>
        <v>40000</v>
      </c>
      <c r="K210" s="7"/>
      <c r="L210" s="7"/>
      <c r="M210" s="7"/>
      <c r="N210" s="7"/>
    </row>
    <row r="211">
      <c r="A211" s="1" t="s">
        <v>321</v>
      </c>
      <c r="B211" s="9" t="s">
        <v>4</v>
      </c>
      <c r="C211" s="13" t="s">
        <v>336</v>
      </c>
      <c r="D211" s="7"/>
      <c r="E211" s="7">
        <f>+600</f>
        <v>600</v>
      </c>
      <c r="F211" s="7">
        <f>+1600</f>
        <v>1600</v>
      </c>
      <c r="G211" s="7">
        <f>+6500</f>
        <v>6500</v>
      </c>
      <c r="H211" s="7">
        <f t="shared" ref="H211:I211" si="125">+10000</f>
        <v>10000</v>
      </c>
      <c r="I211" s="7">
        <f t="shared" si="125"/>
        <v>10000</v>
      </c>
      <c r="J211" s="7">
        <f>+100000</f>
        <v>100000</v>
      </c>
      <c r="K211" s="7"/>
      <c r="L211" s="7"/>
      <c r="M211" s="7"/>
      <c r="N211" s="7"/>
    </row>
    <row r="212">
      <c r="A212" s="1" t="s">
        <v>321</v>
      </c>
      <c r="B212" s="9" t="s">
        <v>4</v>
      </c>
      <c r="C212" s="13" t="s">
        <v>337</v>
      </c>
      <c r="D212" s="7"/>
      <c r="E212" s="7">
        <f>+275</f>
        <v>275</v>
      </c>
      <c r="F212" s="7">
        <f>+1400</f>
        <v>1400</v>
      </c>
      <c r="G212" s="7">
        <f>+9000</f>
        <v>9000</v>
      </c>
      <c r="H212" s="7">
        <f>+75000</f>
        <v>75000</v>
      </c>
      <c r="I212" s="7">
        <f t="shared" ref="I212:J212" si="126">+150000</f>
        <v>150000</v>
      </c>
      <c r="J212" s="7">
        <f t="shared" si="126"/>
        <v>150000</v>
      </c>
      <c r="K212" s="7"/>
      <c r="L212" s="7"/>
      <c r="M212" s="7"/>
      <c r="N212" s="7"/>
    </row>
    <row r="213">
      <c r="A213" s="1" t="s">
        <v>321</v>
      </c>
      <c r="B213" s="9" t="s">
        <v>4</v>
      </c>
      <c r="C213" s="13" t="s">
        <v>338</v>
      </c>
      <c r="D213" s="7"/>
      <c r="E213" s="7">
        <f>+25000</f>
        <v>25000</v>
      </c>
      <c r="F213" s="7">
        <f>+40000</f>
        <v>40000</v>
      </c>
      <c r="G213" s="7">
        <f>+100000</f>
        <v>100000</v>
      </c>
      <c r="H213" s="7">
        <f>+225000</f>
        <v>225000</v>
      </c>
      <c r="I213" s="7">
        <f>+150000</f>
        <v>150000</v>
      </c>
      <c r="J213" s="7">
        <f>+200000</f>
        <v>200000</v>
      </c>
      <c r="K213" s="7"/>
      <c r="L213" s="7"/>
      <c r="M213" s="7"/>
      <c r="N213" s="7"/>
    </row>
    <row r="214">
      <c r="A214" s="1" t="s">
        <v>321</v>
      </c>
      <c r="B214" s="9" t="s">
        <v>4</v>
      </c>
      <c r="C214" s="13" t="s">
        <v>339</v>
      </c>
      <c r="D214" s="7"/>
      <c r="E214" s="7">
        <f>+200000</f>
        <v>200000</v>
      </c>
      <c r="F214" s="7">
        <f>+250000</f>
        <v>250000</v>
      </c>
      <c r="G214" s="7">
        <f t="shared" ref="G214:H214" si="127">+500000</f>
        <v>500000</v>
      </c>
      <c r="H214" s="7">
        <f t="shared" si="127"/>
        <v>500000</v>
      </c>
      <c r="I214" s="7">
        <f>+350000</f>
        <v>350000</v>
      </c>
      <c r="J214" s="7">
        <f>+400000</f>
        <v>400000</v>
      </c>
      <c r="K214" s="7"/>
      <c r="L214" s="7"/>
      <c r="M214" s="7"/>
      <c r="N214" s="7"/>
    </row>
    <row r="215">
      <c r="A215" s="1" t="s">
        <v>321</v>
      </c>
      <c r="B215" s="9" t="s">
        <v>4</v>
      </c>
      <c r="C215" s="13" t="s">
        <v>340</v>
      </c>
      <c r="D215" s="7"/>
      <c r="E215" s="7">
        <f>+250000</f>
        <v>250000</v>
      </c>
      <c r="F215" s="7">
        <f>+500000</f>
        <v>500000</v>
      </c>
      <c r="G215" s="7">
        <f>+800000</f>
        <v>800000</v>
      </c>
      <c r="H215" s="7">
        <f>+500000</f>
        <v>500000</v>
      </c>
      <c r="I215" s="7">
        <f t="shared" ref="I215:J215" si="128">+450000</f>
        <v>450000</v>
      </c>
      <c r="J215" s="7">
        <f t="shared" si="128"/>
        <v>450000</v>
      </c>
      <c r="K215" s="7"/>
      <c r="L215" s="7"/>
      <c r="M215" s="7"/>
      <c r="N215" s="7"/>
    </row>
    <row r="216">
      <c r="A216" s="1" t="s">
        <v>321</v>
      </c>
      <c r="B216" s="9" t="s">
        <v>4</v>
      </c>
      <c r="C216" s="13" t="s">
        <v>341</v>
      </c>
      <c r="D216" s="7"/>
      <c r="E216" s="7">
        <f t="shared" ref="E216:F216" si="129">+750000</f>
        <v>750000</v>
      </c>
      <c r="F216" s="7">
        <f t="shared" si="129"/>
        <v>750000</v>
      </c>
      <c r="G216" s="7">
        <f t="shared" ref="G216:H216" si="130">+950000</f>
        <v>950000</v>
      </c>
      <c r="H216" s="7">
        <f t="shared" si="130"/>
        <v>950000</v>
      </c>
      <c r="I216" s="7">
        <f t="shared" ref="I216:J216" si="131">+450000</f>
        <v>450000</v>
      </c>
      <c r="J216" s="7">
        <f t="shared" si="131"/>
        <v>450000</v>
      </c>
      <c r="K216" s="7"/>
      <c r="L216" s="7"/>
      <c r="M216" s="7"/>
      <c r="N216" s="7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L1"/>
    <hyperlink r:id="rId10" ref="C2"/>
    <hyperlink r:id="rId11" ref="C3"/>
    <hyperlink r:id="rId12" ref="C4"/>
    <hyperlink r:id="rId13" ref="C5"/>
    <hyperlink r:id="rId14" ref="C6"/>
    <hyperlink r:id="rId15" ref="C7"/>
    <hyperlink r:id="rId16" ref="C8"/>
    <hyperlink r:id="rId17" ref="C9"/>
    <hyperlink r:id="rId18" ref="C10"/>
    <hyperlink r:id="rId19" ref="C11"/>
    <hyperlink r:id="rId20" ref="C12"/>
    <hyperlink r:id="rId21" ref="C13"/>
    <hyperlink r:id="rId22" ref="C14"/>
    <hyperlink r:id="rId23" ref="C15"/>
    <hyperlink r:id="rId24" ref="C16"/>
    <hyperlink r:id="rId25" ref="C17"/>
    <hyperlink r:id="rId26" ref="C18"/>
    <hyperlink r:id="rId27" ref="C19"/>
    <hyperlink r:id="rId28" ref="C20"/>
    <hyperlink r:id="rId29" ref="C21"/>
    <hyperlink r:id="rId30" ref="D22"/>
    <hyperlink r:id="rId31" ref="E22"/>
    <hyperlink r:id="rId32" ref="F22"/>
    <hyperlink r:id="rId33" ref="G22"/>
    <hyperlink r:id="rId34" ref="H22"/>
    <hyperlink r:id="rId35" ref="I22"/>
    <hyperlink r:id="rId36" ref="J22"/>
    <hyperlink r:id="rId37" ref="K22"/>
    <hyperlink r:id="rId38" ref="L22"/>
    <hyperlink r:id="rId39" ref="M22"/>
    <hyperlink r:id="rId40" ref="C23"/>
    <hyperlink r:id="rId41" ref="C24"/>
    <hyperlink r:id="rId42" ref="C25"/>
    <hyperlink r:id="rId43" ref="C26"/>
    <hyperlink r:id="rId44" ref="C27"/>
    <hyperlink r:id="rId45" ref="C28"/>
    <hyperlink r:id="rId46" ref="C29"/>
    <hyperlink r:id="rId47" ref="C30"/>
    <hyperlink r:id="rId48" ref="C31"/>
    <hyperlink r:id="rId49" ref="C32"/>
    <hyperlink r:id="rId50" ref="C33"/>
    <hyperlink r:id="rId51" ref="C34"/>
    <hyperlink r:id="rId52" ref="C35"/>
    <hyperlink r:id="rId53" ref="C36"/>
    <hyperlink r:id="rId54" ref="C37"/>
    <hyperlink r:id="rId55" ref="C38"/>
    <hyperlink r:id="rId56" ref="C39"/>
    <hyperlink r:id="rId57" ref="C40"/>
    <hyperlink r:id="rId58" ref="C41"/>
    <hyperlink r:id="rId59" ref="C42"/>
    <hyperlink r:id="rId60" ref="D43"/>
    <hyperlink r:id="rId61" ref="E43"/>
    <hyperlink r:id="rId62" ref="F43"/>
    <hyperlink r:id="rId63" ref="G43"/>
    <hyperlink r:id="rId64" ref="H43"/>
    <hyperlink r:id="rId65" ref="I43"/>
    <hyperlink r:id="rId66" ref="J43"/>
    <hyperlink r:id="rId67" ref="K43"/>
    <hyperlink r:id="rId68" ref="L43"/>
    <hyperlink r:id="rId69" ref="M43"/>
    <hyperlink r:id="rId70" ref="C44"/>
    <hyperlink r:id="rId71" ref="C45"/>
    <hyperlink r:id="rId72" ref="C46"/>
    <hyperlink r:id="rId73" ref="C47"/>
    <hyperlink r:id="rId74" ref="C48"/>
    <hyperlink r:id="rId75" ref="C49"/>
    <hyperlink r:id="rId76" ref="C50"/>
    <hyperlink r:id="rId77" ref="C51"/>
    <hyperlink r:id="rId78" ref="C52"/>
    <hyperlink r:id="rId79" ref="C53"/>
    <hyperlink r:id="rId80" ref="C54"/>
    <hyperlink r:id="rId81" ref="C55"/>
    <hyperlink r:id="rId82" ref="C56"/>
    <hyperlink r:id="rId83" ref="C57"/>
    <hyperlink r:id="rId84" ref="C58"/>
    <hyperlink r:id="rId85" ref="C59"/>
    <hyperlink r:id="rId86" ref="C60"/>
    <hyperlink r:id="rId87" ref="C61"/>
    <hyperlink r:id="rId88" ref="C62"/>
    <hyperlink r:id="rId89" ref="C63"/>
    <hyperlink r:id="rId90" ref="D64"/>
    <hyperlink r:id="rId91" ref="E64"/>
    <hyperlink r:id="rId92" ref="F64"/>
    <hyperlink r:id="rId93" ref="G64"/>
    <hyperlink r:id="rId94" ref="H64"/>
    <hyperlink r:id="rId95" ref="I64"/>
    <hyperlink r:id="rId96" ref="J64"/>
    <hyperlink r:id="rId97" ref="K64"/>
    <hyperlink r:id="rId98" ref="L64"/>
    <hyperlink r:id="rId99" ref="M64"/>
    <hyperlink r:id="rId100" ref="C65"/>
    <hyperlink r:id="rId101" ref="C66"/>
    <hyperlink r:id="rId102" ref="C67"/>
    <hyperlink r:id="rId103" ref="C68"/>
    <hyperlink r:id="rId104" ref="C69"/>
    <hyperlink r:id="rId105" ref="C70"/>
    <hyperlink r:id="rId106" ref="C71"/>
    <hyperlink r:id="rId107" ref="C72"/>
    <hyperlink r:id="rId108" ref="C73"/>
    <hyperlink r:id="rId109" ref="C74"/>
    <hyperlink r:id="rId110" ref="C75"/>
    <hyperlink r:id="rId111" ref="C76"/>
    <hyperlink r:id="rId112" ref="C77"/>
    <hyperlink r:id="rId113" ref="C78"/>
    <hyperlink r:id="rId114" ref="D79"/>
    <hyperlink r:id="rId115" ref="E79"/>
    <hyperlink r:id="rId116" ref="F79"/>
    <hyperlink r:id="rId117" ref="G79"/>
    <hyperlink r:id="rId118" ref="H79"/>
    <hyperlink r:id="rId119" ref="I79"/>
    <hyperlink r:id="rId120" ref="J79"/>
    <hyperlink r:id="rId121" ref="K79"/>
    <hyperlink r:id="rId122" ref="L79"/>
    <hyperlink r:id="rId123" ref="M79"/>
    <hyperlink r:id="rId124" ref="C80"/>
    <hyperlink r:id="rId125" ref="C81"/>
    <hyperlink r:id="rId126" ref="C82"/>
    <hyperlink r:id="rId127" ref="C83"/>
    <hyperlink r:id="rId128" ref="C84"/>
    <hyperlink r:id="rId129" ref="C85"/>
    <hyperlink r:id="rId130" ref="C86"/>
    <hyperlink r:id="rId131" ref="C87"/>
    <hyperlink r:id="rId132" ref="C88"/>
    <hyperlink r:id="rId133" ref="C89"/>
    <hyperlink r:id="rId134" ref="C90"/>
    <hyperlink r:id="rId135" ref="C91"/>
    <hyperlink r:id="rId136" ref="C92"/>
    <hyperlink r:id="rId137" ref="C93"/>
    <hyperlink r:id="rId138" ref="C94"/>
    <hyperlink r:id="rId139" ref="C95"/>
    <hyperlink r:id="rId140" ref="C96"/>
    <hyperlink r:id="rId141" ref="D97"/>
    <hyperlink r:id="rId142" ref="E97"/>
    <hyperlink r:id="rId143" ref="F97"/>
    <hyperlink r:id="rId144" ref="G97"/>
    <hyperlink r:id="rId145" ref="H97"/>
    <hyperlink r:id="rId146" ref="I97"/>
    <hyperlink r:id="rId147" ref="J97"/>
    <hyperlink r:id="rId148" ref="K97"/>
    <hyperlink r:id="rId149" ref="L97"/>
    <hyperlink r:id="rId150" ref="C98"/>
    <hyperlink r:id="rId151" ref="C99"/>
    <hyperlink r:id="rId152" ref="C100"/>
    <hyperlink r:id="rId153" ref="C101"/>
    <hyperlink r:id="rId154" ref="C102"/>
    <hyperlink r:id="rId155" ref="C103"/>
    <hyperlink r:id="rId156" ref="C104"/>
    <hyperlink r:id="rId157" ref="C105"/>
    <hyperlink r:id="rId158" ref="C106"/>
    <hyperlink r:id="rId159" ref="C107"/>
    <hyperlink r:id="rId160" ref="C108"/>
    <hyperlink r:id="rId161" ref="C109"/>
    <hyperlink r:id="rId162" ref="C110"/>
    <hyperlink r:id="rId163" ref="C111"/>
    <hyperlink r:id="rId164" ref="D112"/>
    <hyperlink r:id="rId165" ref="E112"/>
    <hyperlink r:id="rId166" ref="F112"/>
    <hyperlink r:id="rId167" ref="G112"/>
    <hyperlink r:id="rId168" ref="H112"/>
    <hyperlink r:id="rId169" ref="I112"/>
    <hyperlink r:id="rId170" ref="J112"/>
    <hyperlink r:id="rId171" ref="K112"/>
    <hyperlink r:id="rId172" ref="L112"/>
    <hyperlink r:id="rId173" ref="M112"/>
    <hyperlink r:id="rId174" ref="C113"/>
    <hyperlink r:id="rId175" ref="C114"/>
    <hyperlink r:id="rId176" ref="C115"/>
    <hyperlink r:id="rId177" ref="C116"/>
    <hyperlink r:id="rId178" ref="C117"/>
    <hyperlink r:id="rId179" ref="C118"/>
    <hyperlink r:id="rId180" ref="C119"/>
    <hyperlink r:id="rId181" ref="C120"/>
    <hyperlink r:id="rId182" ref="C121"/>
    <hyperlink r:id="rId183" ref="C122"/>
    <hyperlink r:id="rId184" ref="C123"/>
    <hyperlink r:id="rId185" ref="C124"/>
    <hyperlink r:id="rId186" ref="C125"/>
    <hyperlink r:id="rId187" ref="C126"/>
    <hyperlink r:id="rId188" ref="C127"/>
    <hyperlink r:id="rId189" ref="C128"/>
    <hyperlink r:id="rId190" ref="C129"/>
    <hyperlink r:id="rId191" ref="C130"/>
    <hyperlink r:id="rId192" ref="C131"/>
    <hyperlink r:id="rId193" ref="C132"/>
    <hyperlink r:id="rId194" ref="D133"/>
    <hyperlink r:id="rId195" ref="E133"/>
    <hyperlink r:id="rId196" ref="F133"/>
    <hyperlink r:id="rId197" ref="G133"/>
    <hyperlink r:id="rId198" ref="H133"/>
    <hyperlink r:id="rId199" ref="I133"/>
    <hyperlink r:id="rId200" ref="J133"/>
    <hyperlink r:id="rId201" ref="K133"/>
    <hyperlink r:id="rId202" ref="L133"/>
    <hyperlink r:id="rId203" ref="M133"/>
    <hyperlink r:id="rId204" ref="C134"/>
    <hyperlink r:id="rId205" ref="C135"/>
    <hyperlink r:id="rId206" ref="C136"/>
    <hyperlink r:id="rId207" ref="C137"/>
    <hyperlink r:id="rId208" ref="C138"/>
    <hyperlink r:id="rId209" ref="C139"/>
    <hyperlink r:id="rId210" ref="C140"/>
    <hyperlink r:id="rId211" ref="C141"/>
    <hyperlink r:id="rId212" ref="C142"/>
    <hyperlink r:id="rId213" ref="C143"/>
    <hyperlink r:id="rId214" ref="C144"/>
    <hyperlink r:id="rId215" ref="C145"/>
    <hyperlink r:id="rId216" ref="C146"/>
    <hyperlink r:id="rId217" ref="C147"/>
    <hyperlink r:id="rId218" ref="C148"/>
    <hyperlink r:id="rId219" ref="C149"/>
    <hyperlink r:id="rId220" ref="C150"/>
    <hyperlink r:id="rId221" ref="C151"/>
    <hyperlink r:id="rId222" ref="C152"/>
    <hyperlink r:id="rId223" ref="C153"/>
    <hyperlink r:id="rId224" ref="D154"/>
    <hyperlink r:id="rId225" ref="E154"/>
    <hyperlink r:id="rId226" ref="F154"/>
    <hyperlink r:id="rId227" ref="G154"/>
    <hyperlink r:id="rId228" ref="H154"/>
    <hyperlink r:id="rId229" ref="I154"/>
    <hyperlink r:id="rId230" ref="J154"/>
    <hyperlink r:id="rId231" ref="K154"/>
    <hyperlink r:id="rId232" ref="L154"/>
    <hyperlink r:id="rId233" ref="M154"/>
    <hyperlink r:id="rId234" ref="C155"/>
    <hyperlink r:id="rId235" ref="C156"/>
    <hyperlink r:id="rId236" ref="C157"/>
    <hyperlink r:id="rId237" ref="C158"/>
    <hyperlink r:id="rId238" ref="C159"/>
    <hyperlink r:id="rId239" ref="C160"/>
    <hyperlink r:id="rId240" ref="C161"/>
    <hyperlink r:id="rId241" ref="C162"/>
    <hyperlink r:id="rId242" ref="C163"/>
    <hyperlink r:id="rId243" ref="C164"/>
    <hyperlink r:id="rId244" ref="C165"/>
    <hyperlink r:id="rId245" ref="C166"/>
    <hyperlink r:id="rId246" ref="C167"/>
    <hyperlink r:id="rId247" ref="C168"/>
    <hyperlink r:id="rId248" ref="C169"/>
    <hyperlink r:id="rId249" ref="C170"/>
    <hyperlink r:id="rId250" ref="C171"/>
    <hyperlink r:id="rId251" ref="C172"/>
    <hyperlink r:id="rId252" ref="C173"/>
    <hyperlink r:id="rId253" ref="C174"/>
    <hyperlink r:id="rId254" ref="D175"/>
    <hyperlink r:id="rId255" ref="E175"/>
    <hyperlink r:id="rId256" ref="F175"/>
    <hyperlink r:id="rId257" ref="G175"/>
    <hyperlink r:id="rId258" ref="H175"/>
    <hyperlink r:id="rId259" ref="I175"/>
    <hyperlink r:id="rId260" ref="J175"/>
    <hyperlink r:id="rId261" ref="K175"/>
    <hyperlink r:id="rId262" ref="L175"/>
    <hyperlink r:id="rId263" ref="M175"/>
    <hyperlink r:id="rId264" ref="C176"/>
    <hyperlink r:id="rId265" ref="C177"/>
    <hyperlink r:id="rId266" ref="C178"/>
    <hyperlink r:id="rId267" ref="C179"/>
    <hyperlink r:id="rId268" ref="C180"/>
    <hyperlink r:id="rId269" ref="C181"/>
    <hyperlink r:id="rId270" ref="C182"/>
    <hyperlink r:id="rId271" ref="C183"/>
    <hyperlink r:id="rId272" ref="C184"/>
    <hyperlink r:id="rId273" ref="C185"/>
    <hyperlink r:id="rId274" ref="C186"/>
    <hyperlink r:id="rId275" ref="C187"/>
    <hyperlink r:id="rId276" ref="C188"/>
    <hyperlink r:id="rId277" ref="C189"/>
    <hyperlink r:id="rId278" ref="C190"/>
    <hyperlink r:id="rId279" ref="C191"/>
    <hyperlink r:id="rId280" ref="C192"/>
    <hyperlink r:id="rId281" ref="C193"/>
    <hyperlink r:id="rId282" ref="C194"/>
    <hyperlink r:id="rId283" ref="C195"/>
    <hyperlink r:id="rId284" ref="D196"/>
    <hyperlink r:id="rId285" ref="E196"/>
    <hyperlink r:id="rId286" ref="F196"/>
    <hyperlink r:id="rId287" ref="G196"/>
    <hyperlink r:id="rId288" ref="H196"/>
    <hyperlink r:id="rId289" ref="I196"/>
    <hyperlink r:id="rId290" ref="J196"/>
    <hyperlink r:id="rId291" ref="K196"/>
    <hyperlink r:id="rId292" ref="L196"/>
    <hyperlink r:id="rId293" ref="M196"/>
    <hyperlink r:id="rId294" ref="C197"/>
    <hyperlink r:id="rId295" ref="C198"/>
    <hyperlink r:id="rId296" ref="C199"/>
    <hyperlink r:id="rId297" ref="C200"/>
    <hyperlink r:id="rId298" ref="C201"/>
    <hyperlink r:id="rId299" ref="C202"/>
    <hyperlink r:id="rId300" ref="C203"/>
    <hyperlink r:id="rId301" ref="C204"/>
    <hyperlink r:id="rId302" ref="C205"/>
    <hyperlink r:id="rId303" ref="C206"/>
    <hyperlink r:id="rId304" ref="C207"/>
    <hyperlink r:id="rId305" ref="C208"/>
    <hyperlink r:id="rId306" ref="C209"/>
    <hyperlink r:id="rId307" ref="C210"/>
    <hyperlink r:id="rId308" ref="C211"/>
    <hyperlink r:id="rId309" ref="C212"/>
    <hyperlink r:id="rId310" ref="C213"/>
    <hyperlink r:id="rId311" ref="C214"/>
    <hyperlink r:id="rId312" ref="C215"/>
    <hyperlink r:id="rId313" ref="C216"/>
  </hyperlinks>
  <drawing r:id="rId3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5"/>
    <col customWidth="1" min="3" max="3" width="15.38"/>
    <col customWidth="1" min="4" max="12" width="6.5"/>
    <col customWidth="1" min="13" max="14" width="11.25"/>
  </cols>
  <sheetData>
    <row r="1">
      <c r="C1" s="3" t="s">
        <v>2</v>
      </c>
      <c r="D1" s="5">
        <v>45803.0</v>
      </c>
      <c r="E1" s="4">
        <v>45931.0</v>
      </c>
      <c r="F1" s="4">
        <v>45962.0</v>
      </c>
      <c r="G1" s="4">
        <v>45992.0</v>
      </c>
      <c r="H1" s="4">
        <v>45658.0</v>
      </c>
      <c r="I1" s="4">
        <v>45689.0</v>
      </c>
      <c r="J1" s="4">
        <v>45717.0</v>
      </c>
      <c r="K1" s="4">
        <v>45748.0</v>
      </c>
      <c r="L1" s="5">
        <v>45778.0</v>
      </c>
      <c r="M1" s="6"/>
    </row>
    <row r="2">
      <c r="A2" s="1" t="s">
        <v>3</v>
      </c>
      <c r="B2" s="1" t="s">
        <v>342</v>
      </c>
      <c r="C2" s="2" t="s">
        <v>343</v>
      </c>
      <c r="D2" s="7">
        <f>+100</f>
        <v>100</v>
      </c>
      <c r="E2" s="7">
        <f>+300</f>
        <v>300</v>
      </c>
      <c r="F2" s="7">
        <f>+150</f>
        <v>150</v>
      </c>
      <c r="G2" s="7"/>
      <c r="H2" s="7"/>
      <c r="I2" s="7"/>
      <c r="J2" s="7"/>
      <c r="K2" s="7"/>
      <c r="L2" s="7"/>
      <c r="M2" s="7"/>
    </row>
    <row r="3">
      <c r="A3" s="1" t="s">
        <v>3</v>
      </c>
      <c r="B3" s="1" t="s">
        <v>342</v>
      </c>
      <c r="C3" s="2" t="s">
        <v>344</v>
      </c>
      <c r="D3" s="7">
        <f>+550</f>
        <v>550</v>
      </c>
      <c r="E3" s="7">
        <f>+150</f>
        <v>150</v>
      </c>
      <c r="F3" s="7">
        <f>+200</f>
        <v>200</v>
      </c>
      <c r="G3" s="7"/>
      <c r="H3" s="7"/>
      <c r="I3" s="7"/>
      <c r="J3" s="7"/>
      <c r="K3" s="7"/>
      <c r="L3" s="7"/>
      <c r="M3" s="7"/>
    </row>
    <row r="4">
      <c r="A4" s="1" t="s">
        <v>3</v>
      </c>
      <c r="B4" s="1" t="s">
        <v>342</v>
      </c>
      <c r="C4" s="2" t="s">
        <v>345</v>
      </c>
      <c r="D4" s="7">
        <f>+650</f>
        <v>650</v>
      </c>
      <c r="E4" s="7">
        <f>+300</f>
        <v>300</v>
      </c>
      <c r="F4" s="7">
        <f>+350</f>
        <v>350</v>
      </c>
      <c r="G4" s="7"/>
      <c r="H4" s="7"/>
      <c r="I4" s="7"/>
      <c r="J4" s="7"/>
      <c r="K4" s="7"/>
      <c r="L4" s="7"/>
      <c r="M4" s="7"/>
    </row>
    <row r="5">
      <c r="A5" s="1" t="s">
        <v>3</v>
      </c>
      <c r="B5" s="1" t="s">
        <v>342</v>
      </c>
      <c r="C5" s="2" t="s">
        <v>346</v>
      </c>
      <c r="D5" s="7">
        <f>+900</f>
        <v>900</v>
      </c>
      <c r="E5" s="7">
        <f>+1100</f>
        <v>1100</v>
      </c>
      <c r="F5" s="7">
        <f>+900</f>
        <v>900</v>
      </c>
      <c r="G5" s="7"/>
      <c r="H5" s="7"/>
      <c r="I5" s="7"/>
      <c r="J5" s="7"/>
      <c r="K5" s="7"/>
      <c r="L5" s="7"/>
      <c r="M5" s="7"/>
    </row>
    <row r="6">
      <c r="A6" s="1" t="s">
        <v>3</v>
      </c>
      <c r="B6" s="1" t="s">
        <v>342</v>
      </c>
      <c r="C6" s="2" t="s">
        <v>347</v>
      </c>
      <c r="D6" s="7">
        <f>+200</f>
        <v>200</v>
      </c>
      <c r="E6" s="7">
        <f>+800</f>
        <v>800</v>
      </c>
      <c r="F6" s="7">
        <f>+2500</f>
        <v>2500</v>
      </c>
      <c r="G6" s="7"/>
      <c r="H6" s="7"/>
      <c r="I6" s="7"/>
      <c r="J6" s="7"/>
      <c r="K6" s="7"/>
      <c r="L6" s="7"/>
      <c r="M6" s="7"/>
    </row>
    <row r="7">
      <c r="A7" s="1" t="s">
        <v>3</v>
      </c>
      <c r="B7" s="1" t="s">
        <v>342</v>
      </c>
      <c r="C7" s="2" t="s">
        <v>348</v>
      </c>
      <c r="D7" s="7">
        <f>+650</f>
        <v>650</v>
      </c>
      <c r="E7" s="7">
        <f>+5000</f>
        <v>5000</v>
      </c>
      <c r="F7" s="7">
        <f>+10000</f>
        <v>10000</v>
      </c>
      <c r="G7" s="7"/>
      <c r="H7" s="7"/>
      <c r="I7" s="7"/>
      <c r="J7" s="7"/>
      <c r="K7" s="7"/>
      <c r="L7" s="7"/>
      <c r="M7" s="7"/>
    </row>
    <row r="8">
      <c r="A8" s="1" t="s">
        <v>3</v>
      </c>
      <c r="B8" s="1" t="s">
        <v>342</v>
      </c>
      <c r="C8" s="2" t="s">
        <v>349</v>
      </c>
      <c r="D8" s="7">
        <f t="shared" ref="D8:D9" si="2">+5000</f>
        <v>5000</v>
      </c>
      <c r="E8" s="7">
        <f t="shared" ref="E8:F8" si="1">+10000</f>
        <v>10000</v>
      </c>
      <c r="F8" s="7">
        <f t="shared" si="1"/>
        <v>10000</v>
      </c>
      <c r="G8" s="7"/>
      <c r="H8" s="7"/>
      <c r="I8" s="7"/>
      <c r="J8" s="7"/>
      <c r="K8" s="7"/>
      <c r="L8" s="7"/>
      <c r="M8" s="7"/>
    </row>
    <row r="9">
      <c r="A9" s="1" t="s">
        <v>3</v>
      </c>
      <c r="B9" s="1" t="s">
        <v>342</v>
      </c>
      <c r="C9" s="2" t="s">
        <v>350</v>
      </c>
      <c r="D9" s="7">
        <f t="shared" si="2"/>
        <v>5000</v>
      </c>
      <c r="E9" s="7">
        <f t="shared" ref="E9:E10" si="3">+15000</f>
        <v>15000</v>
      </c>
      <c r="F9" s="7">
        <f>+10000</f>
        <v>10000</v>
      </c>
      <c r="G9" s="7"/>
      <c r="H9" s="7"/>
      <c r="I9" s="7"/>
      <c r="J9" s="7"/>
      <c r="K9" s="7"/>
      <c r="L9" s="7"/>
      <c r="M9" s="7"/>
    </row>
    <row r="10">
      <c r="A10" s="1" t="s">
        <v>3</v>
      </c>
      <c r="B10" s="1" t="s">
        <v>342</v>
      </c>
      <c r="C10" s="2" t="s">
        <v>351</v>
      </c>
      <c r="D10" s="7">
        <f>+2500</f>
        <v>2500</v>
      </c>
      <c r="E10" s="7">
        <f t="shared" si="3"/>
        <v>15000</v>
      </c>
      <c r="F10" s="7">
        <f>+25000</f>
        <v>25000</v>
      </c>
      <c r="G10" s="7"/>
      <c r="H10" s="7"/>
      <c r="I10" s="7"/>
      <c r="J10" s="7"/>
      <c r="K10" s="7"/>
      <c r="L10" s="7"/>
      <c r="M10" s="7"/>
    </row>
    <row r="11">
      <c r="A11" s="1" t="s">
        <v>3</v>
      </c>
      <c r="B11" s="1" t="s">
        <v>342</v>
      </c>
      <c r="C11" s="2" t="s">
        <v>352</v>
      </c>
      <c r="D11" s="7">
        <f>+5000</f>
        <v>5000</v>
      </c>
      <c r="E11" s="7">
        <f>+25000</f>
        <v>25000</v>
      </c>
      <c r="F11" s="7">
        <f>+50000</f>
        <v>50000</v>
      </c>
      <c r="G11" s="7"/>
      <c r="H11" s="7"/>
      <c r="I11" s="7"/>
      <c r="J11" s="7"/>
      <c r="K11" s="7"/>
      <c r="L11" s="7"/>
      <c r="M11" s="7"/>
    </row>
    <row r="12">
      <c r="A12" s="1" t="s">
        <v>3</v>
      </c>
      <c r="B12" s="1" t="s">
        <v>342</v>
      </c>
      <c r="C12" s="2" t="s">
        <v>353</v>
      </c>
      <c r="D12" s="7">
        <f t="shared" ref="D12:D13" si="5">+25000</f>
        <v>25000</v>
      </c>
      <c r="E12" s="7">
        <f t="shared" ref="E12:F12" si="4">+50000</f>
        <v>50000</v>
      </c>
      <c r="F12" s="7">
        <f t="shared" si="4"/>
        <v>50000</v>
      </c>
      <c r="G12" s="7"/>
      <c r="H12" s="7"/>
      <c r="I12" s="7"/>
      <c r="J12" s="7"/>
      <c r="K12" s="7"/>
      <c r="L12" s="7"/>
      <c r="M12" s="7"/>
    </row>
    <row r="13">
      <c r="A13" s="1" t="s">
        <v>3</v>
      </c>
      <c r="B13" s="1" t="s">
        <v>342</v>
      </c>
      <c r="C13" s="2" t="s">
        <v>354</v>
      </c>
      <c r="D13" s="7">
        <f t="shared" si="5"/>
        <v>25000</v>
      </c>
      <c r="E13" s="7">
        <f>+75000</f>
        <v>75000</v>
      </c>
      <c r="F13" s="7">
        <f t="shared" ref="F13:F14" si="6">+50000</f>
        <v>50000</v>
      </c>
      <c r="G13" s="7"/>
      <c r="H13" s="7"/>
      <c r="I13" s="7"/>
      <c r="J13" s="7"/>
      <c r="K13" s="7"/>
      <c r="L13" s="7"/>
      <c r="M13" s="7"/>
    </row>
    <row r="14">
      <c r="A14" s="1" t="s">
        <v>3</v>
      </c>
      <c r="B14" s="1" t="s">
        <v>342</v>
      </c>
      <c r="C14" s="2" t="s">
        <v>355</v>
      </c>
      <c r="D14" s="7"/>
      <c r="E14" s="7">
        <f>+100000</f>
        <v>100000</v>
      </c>
      <c r="F14" s="7">
        <f t="shared" si="6"/>
        <v>50000</v>
      </c>
      <c r="G14" s="7"/>
      <c r="H14" s="7"/>
      <c r="I14" s="7"/>
      <c r="J14" s="7"/>
      <c r="K14" s="7"/>
      <c r="L14" s="7"/>
      <c r="M14" s="7"/>
    </row>
    <row r="15">
      <c r="A15" s="1" t="s">
        <v>3</v>
      </c>
      <c r="B15" s="1" t="s">
        <v>342</v>
      </c>
      <c r="C15" s="2" t="s">
        <v>356</v>
      </c>
      <c r="D15" s="7">
        <f t="shared" ref="D15:D17" si="7">+50000</f>
        <v>50000</v>
      </c>
      <c r="E15" s="7">
        <f t="shared" ref="E15:E16" si="8">+75000</f>
        <v>75000</v>
      </c>
      <c r="F15" s="7">
        <f t="shared" ref="F15:F16" si="9">+100000</f>
        <v>100000</v>
      </c>
      <c r="G15" s="7"/>
      <c r="H15" s="7"/>
      <c r="I15" s="7"/>
      <c r="J15" s="7"/>
      <c r="K15" s="7"/>
      <c r="L15" s="7"/>
      <c r="M15" s="7"/>
    </row>
    <row r="16">
      <c r="A16" s="1" t="s">
        <v>3</v>
      </c>
      <c r="B16" s="1" t="s">
        <v>342</v>
      </c>
      <c r="C16" s="2" t="s">
        <v>357</v>
      </c>
      <c r="D16" s="7">
        <f t="shared" si="7"/>
        <v>50000</v>
      </c>
      <c r="E16" s="7">
        <f t="shared" si="8"/>
        <v>75000</v>
      </c>
      <c r="F16" s="7">
        <f t="shared" si="9"/>
        <v>100000</v>
      </c>
      <c r="G16" s="7"/>
      <c r="H16" s="7"/>
      <c r="I16" s="7"/>
      <c r="J16" s="7"/>
      <c r="K16" s="7"/>
      <c r="L16" s="7"/>
      <c r="M16" s="7"/>
    </row>
    <row r="17">
      <c r="A17" s="1" t="s">
        <v>3</v>
      </c>
      <c r="B17" s="1" t="s">
        <v>342</v>
      </c>
      <c r="C17" s="2" t="s">
        <v>358</v>
      </c>
      <c r="D17" s="7">
        <f t="shared" si="7"/>
        <v>50000</v>
      </c>
      <c r="E17" s="7">
        <f t="shared" ref="E17:F17" si="10">+100000</f>
        <v>100000</v>
      </c>
      <c r="F17" s="7">
        <f t="shared" si="10"/>
        <v>100000</v>
      </c>
      <c r="G17" s="7"/>
      <c r="H17" s="7"/>
      <c r="I17" s="7"/>
      <c r="J17" s="7"/>
      <c r="K17" s="7"/>
      <c r="L17" s="7"/>
      <c r="M17" s="7"/>
    </row>
    <row r="18">
      <c r="A18" s="1" t="s">
        <v>3</v>
      </c>
      <c r="B18" s="1" t="s">
        <v>342</v>
      </c>
      <c r="C18" s="2" t="s">
        <v>359</v>
      </c>
      <c r="D18" s="7">
        <f>+75000</f>
        <v>75000</v>
      </c>
      <c r="E18" s="7">
        <f t="shared" ref="E18:F18" si="11">+100000</f>
        <v>100000</v>
      </c>
      <c r="F18" s="7">
        <f t="shared" si="11"/>
        <v>100000</v>
      </c>
      <c r="G18" s="7"/>
      <c r="H18" s="7"/>
      <c r="I18" s="7"/>
      <c r="J18" s="7"/>
      <c r="K18" s="7"/>
      <c r="L18" s="7"/>
      <c r="M18" s="7"/>
    </row>
    <row r="19">
      <c r="A19" s="1" t="s">
        <v>3</v>
      </c>
      <c r="B19" s="1" t="s">
        <v>342</v>
      </c>
      <c r="C19" s="2" t="s">
        <v>360</v>
      </c>
      <c r="D19" s="7">
        <f t="shared" ref="D19:F19" si="12">+100000</f>
        <v>100000</v>
      </c>
      <c r="E19" s="7">
        <f t="shared" si="12"/>
        <v>100000</v>
      </c>
      <c r="F19" s="7">
        <f t="shared" si="12"/>
        <v>100000</v>
      </c>
      <c r="G19" s="7"/>
      <c r="H19" s="7"/>
      <c r="I19" s="7"/>
      <c r="J19" s="7"/>
      <c r="K19" s="7"/>
      <c r="L19" s="7"/>
      <c r="M19" s="7"/>
    </row>
    <row r="20">
      <c r="A20" s="1" t="s">
        <v>3</v>
      </c>
      <c r="B20" s="1" t="s">
        <v>342</v>
      </c>
      <c r="C20" s="2" t="s">
        <v>361</v>
      </c>
      <c r="D20" s="7">
        <f t="shared" ref="D20:F20" si="13">+100000</f>
        <v>100000</v>
      </c>
      <c r="E20" s="7">
        <f t="shared" si="13"/>
        <v>100000</v>
      </c>
      <c r="F20" s="7">
        <f t="shared" si="13"/>
        <v>100000</v>
      </c>
      <c r="G20" s="7"/>
      <c r="H20" s="7"/>
      <c r="I20" s="7"/>
      <c r="J20" s="7"/>
      <c r="K20" s="7"/>
      <c r="L20" s="7"/>
      <c r="M20" s="7"/>
    </row>
    <row r="21">
      <c r="A21" s="1" t="s">
        <v>3</v>
      </c>
      <c r="B21" s="1" t="s">
        <v>342</v>
      </c>
      <c r="C21" s="2" t="s">
        <v>362</v>
      </c>
      <c r="D21" s="7">
        <f>+75000</f>
        <v>75000</v>
      </c>
      <c r="E21" s="7">
        <f>+100000</f>
        <v>100000</v>
      </c>
      <c r="F21" s="7">
        <f>+150000</f>
        <v>150000</v>
      </c>
      <c r="G21" s="7"/>
      <c r="H21" s="7"/>
      <c r="I21" s="7"/>
      <c r="J21" s="7"/>
      <c r="K21" s="7"/>
      <c r="L21" s="7"/>
      <c r="M21" s="7"/>
    </row>
    <row r="22">
      <c r="C22" s="3" t="s">
        <v>2</v>
      </c>
      <c r="D22" s="4">
        <v>45772.0</v>
      </c>
      <c r="E22" s="4">
        <v>45886.0</v>
      </c>
      <c r="F22" s="4">
        <v>45931.0</v>
      </c>
      <c r="G22" s="4">
        <v>45962.0</v>
      </c>
      <c r="H22" s="4">
        <v>45992.0</v>
      </c>
      <c r="I22" s="4">
        <v>45658.0</v>
      </c>
      <c r="J22" s="4">
        <v>45689.0</v>
      </c>
      <c r="K22" s="4">
        <v>45717.0</v>
      </c>
      <c r="L22" s="4">
        <v>45748.0</v>
      </c>
      <c r="M22" s="5">
        <v>45778.0</v>
      </c>
      <c r="N22" s="6"/>
    </row>
    <row r="23">
      <c r="A23" s="1" t="s">
        <v>25</v>
      </c>
      <c r="B23" s="1" t="s">
        <v>342</v>
      </c>
      <c r="C23" s="2" t="s">
        <v>363</v>
      </c>
      <c r="D23" s="7">
        <f>+900</f>
        <v>900</v>
      </c>
      <c r="E23" s="7">
        <f>+450</f>
        <v>450</v>
      </c>
      <c r="F23" s="7">
        <f>+350</f>
        <v>350</v>
      </c>
      <c r="G23" s="7">
        <f>+160</f>
        <v>160</v>
      </c>
      <c r="H23" s="7">
        <f>+260</f>
        <v>260</v>
      </c>
      <c r="I23" s="7">
        <f>+400</f>
        <v>400</v>
      </c>
      <c r="J23" s="7">
        <f>+120</f>
        <v>120</v>
      </c>
      <c r="K23" s="7">
        <f>+225</f>
        <v>225</v>
      </c>
      <c r="L23" s="7">
        <f>+250</f>
        <v>250</v>
      </c>
      <c r="M23" s="8">
        <v>-400.0</v>
      </c>
      <c r="N23" s="8" t="s">
        <v>27</v>
      </c>
    </row>
    <row r="24">
      <c r="A24" s="1" t="s">
        <v>25</v>
      </c>
      <c r="B24" s="1" t="s">
        <v>342</v>
      </c>
      <c r="C24" s="2" t="s">
        <v>364</v>
      </c>
      <c r="D24" s="8">
        <v>-165.0</v>
      </c>
      <c r="E24" s="8">
        <v>-165.0</v>
      </c>
      <c r="F24" s="7">
        <f>+100</f>
        <v>100</v>
      </c>
      <c r="G24" s="8">
        <v>-120.0</v>
      </c>
      <c r="H24" s="8">
        <v>-105.0</v>
      </c>
      <c r="I24" s="8">
        <v>-200.0</v>
      </c>
      <c r="J24" s="8">
        <v>-135.0</v>
      </c>
      <c r="K24" s="8">
        <v>-145.0</v>
      </c>
      <c r="L24" s="8">
        <v>-325.0</v>
      </c>
      <c r="M24" s="7">
        <f>+300</f>
        <v>300</v>
      </c>
      <c r="N24" s="7"/>
    </row>
    <row r="25">
      <c r="A25" s="1" t="s">
        <v>25</v>
      </c>
      <c r="B25" s="1" t="s">
        <v>342</v>
      </c>
      <c r="C25" s="2" t="s">
        <v>365</v>
      </c>
      <c r="D25" s="7">
        <f>+2500</f>
        <v>2500</v>
      </c>
      <c r="E25" s="7">
        <f>+2000</f>
        <v>2000</v>
      </c>
      <c r="F25" s="7">
        <f>+3300</f>
        <v>3300</v>
      </c>
      <c r="G25" s="7">
        <f>+1600</f>
        <v>1600</v>
      </c>
      <c r="H25" s="7">
        <f>+450</f>
        <v>450</v>
      </c>
      <c r="I25" s="7">
        <f>+300</f>
        <v>300</v>
      </c>
      <c r="J25" s="7">
        <f>+1100</f>
        <v>1100</v>
      </c>
      <c r="K25" s="7">
        <f>+450</f>
        <v>450</v>
      </c>
      <c r="L25" s="7">
        <f>+6600</f>
        <v>6600</v>
      </c>
      <c r="M25" s="7"/>
      <c r="N25" s="7"/>
    </row>
    <row r="26">
      <c r="A26" s="1" t="s">
        <v>25</v>
      </c>
      <c r="B26" s="1" t="s">
        <v>342</v>
      </c>
      <c r="C26" s="2" t="s">
        <v>366</v>
      </c>
      <c r="D26" s="7">
        <f>+250</f>
        <v>250</v>
      </c>
      <c r="E26" s="7">
        <f t="shared" ref="E26:F26" si="14">+350</f>
        <v>350</v>
      </c>
      <c r="F26" s="7">
        <f t="shared" si="14"/>
        <v>350</v>
      </c>
      <c r="G26" s="7">
        <f>+650</f>
        <v>650</v>
      </c>
      <c r="H26" s="7">
        <f>+750</f>
        <v>750</v>
      </c>
      <c r="I26" s="7">
        <f>+5000</f>
        <v>5000</v>
      </c>
      <c r="J26" s="7">
        <f>+10000</f>
        <v>10000</v>
      </c>
      <c r="K26" s="7">
        <f>+2000</f>
        <v>2000</v>
      </c>
      <c r="L26" s="7">
        <f>+10000</f>
        <v>10000</v>
      </c>
      <c r="M26" s="7"/>
      <c r="N26" s="7"/>
    </row>
    <row r="27">
      <c r="A27" s="1" t="s">
        <v>25</v>
      </c>
      <c r="B27" s="1" t="s">
        <v>342</v>
      </c>
      <c r="C27" s="2" t="s">
        <v>367</v>
      </c>
      <c r="D27" s="7">
        <f>+5000</f>
        <v>5000</v>
      </c>
      <c r="E27" s="7">
        <f>+10000</f>
        <v>10000</v>
      </c>
      <c r="F27" s="7">
        <f>+25000</f>
        <v>25000</v>
      </c>
      <c r="G27" s="7">
        <f>+50000</f>
        <v>50000</v>
      </c>
      <c r="H27" s="7">
        <f>+25000</f>
        <v>25000</v>
      </c>
      <c r="I27" s="7">
        <f>+50000</f>
        <v>50000</v>
      </c>
      <c r="J27" s="7">
        <f t="shared" ref="J27:K27" si="15">+100000</f>
        <v>100000</v>
      </c>
      <c r="K27" s="7">
        <f t="shared" si="15"/>
        <v>100000</v>
      </c>
      <c r="L27" s="7">
        <f>+25000</f>
        <v>25000</v>
      </c>
      <c r="M27" s="7"/>
      <c r="N27" s="7"/>
    </row>
    <row r="28">
      <c r="A28" s="1" t="s">
        <v>25</v>
      </c>
      <c r="B28" s="1" t="s">
        <v>342</v>
      </c>
      <c r="C28" s="2" t="s">
        <v>368</v>
      </c>
      <c r="D28" s="7">
        <f>+2500</f>
        <v>2500</v>
      </c>
      <c r="E28" s="7">
        <f>+5000</f>
        <v>5000</v>
      </c>
      <c r="F28" s="7">
        <f>+6600</f>
        <v>6600</v>
      </c>
      <c r="G28" s="7">
        <f>+3300</f>
        <v>3300</v>
      </c>
      <c r="H28" s="7">
        <f>+2500</f>
        <v>2500</v>
      </c>
      <c r="I28" s="7">
        <f>+5000</f>
        <v>5000</v>
      </c>
      <c r="J28" s="7">
        <f>+25000</f>
        <v>25000</v>
      </c>
      <c r="K28" s="7">
        <f>+10000</f>
        <v>10000</v>
      </c>
      <c r="L28" s="7">
        <f t="shared" ref="L28:L29" si="16">+100000</f>
        <v>100000</v>
      </c>
      <c r="M28" s="7"/>
      <c r="N28" s="7"/>
    </row>
    <row r="29">
      <c r="A29" s="1" t="s">
        <v>25</v>
      </c>
      <c r="B29" s="1" t="s">
        <v>342</v>
      </c>
      <c r="C29" s="2" t="s">
        <v>369</v>
      </c>
      <c r="D29" s="7">
        <f>+1400</f>
        <v>1400</v>
      </c>
      <c r="E29" s="7">
        <f>+2500</f>
        <v>2500</v>
      </c>
      <c r="F29" s="7">
        <f>+3300</f>
        <v>3300</v>
      </c>
      <c r="G29" s="7">
        <f>+10000</f>
        <v>10000</v>
      </c>
      <c r="H29" s="7">
        <f>+20000</f>
        <v>20000</v>
      </c>
      <c r="I29" s="7">
        <f>+50000</f>
        <v>50000</v>
      </c>
      <c r="J29" s="7">
        <f>+75000</f>
        <v>75000</v>
      </c>
      <c r="K29" s="7"/>
      <c r="L29" s="7">
        <f t="shared" si="16"/>
        <v>100000</v>
      </c>
      <c r="M29" s="7"/>
      <c r="N29" s="7"/>
    </row>
    <row r="30">
      <c r="A30" s="1" t="s">
        <v>25</v>
      </c>
      <c r="B30" s="1" t="s">
        <v>342</v>
      </c>
      <c r="C30" s="2" t="s">
        <v>370</v>
      </c>
      <c r="D30" s="7">
        <f>+450</f>
        <v>450</v>
      </c>
      <c r="E30" s="7">
        <f>+650</f>
        <v>650</v>
      </c>
      <c r="F30" s="7">
        <f>+600</f>
        <v>600</v>
      </c>
      <c r="G30" s="7">
        <f>+1400</f>
        <v>1400</v>
      </c>
      <c r="H30" s="7">
        <f>+2500</f>
        <v>2500</v>
      </c>
      <c r="I30" s="7">
        <f>+10000</f>
        <v>10000</v>
      </c>
      <c r="J30" s="7">
        <f>+25000</f>
        <v>25000</v>
      </c>
      <c r="K30" s="7">
        <f>+50000</f>
        <v>50000</v>
      </c>
      <c r="L30" s="7">
        <f t="shared" ref="L30:L31" si="18">+150000</f>
        <v>150000</v>
      </c>
      <c r="M30" s="7"/>
      <c r="N30" s="7"/>
    </row>
    <row r="31">
      <c r="A31" s="1" t="s">
        <v>25</v>
      </c>
      <c r="B31" s="1" t="s">
        <v>342</v>
      </c>
      <c r="C31" s="2" t="s">
        <v>371</v>
      </c>
      <c r="D31" s="7">
        <f>+5000</f>
        <v>5000</v>
      </c>
      <c r="E31" s="7">
        <f>+10000</f>
        <v>10000</v>
      </c>
      <c r="F31" s="7">
        <f>+25000</f>
        <v>25000</v>
      </c>
      <c r="G31" s="7">
        <f>+6600</f>
        <v>6600</v>
      </c>
      <c r="H31" s="7">
        <f>+3300</f>
        <v>3300</v>
      </c>
      <c r="I31" s="7">
        <f>+6600</f>
        <v>6600</v>
      </c>
      <c r="J31" s="7">
        <f t="shared" ref="J31:K31" si="17">+50000</f>
        <v>50000</v>
      </c>
      <c r="K31" s="7">
        <f t="shared" si="17"/>
        <v>50000</v>
      </c>
      <c r="L31" s="7">
        <f t="shared" si="18"/>
        <v>150000</v>
      </c>
      <c r="M31" s="7"/>
      <c r="N31" s="7"/>
    </row>
    <row r="32">
      <c r="A32" s="1" t="s">
        <v>25</v>
      </c>
      <c r="B32" s="1" t="s">
        <v>342</v>
      </c>
      <c r="C32" s="2" t="s">
        <v>372</v>
      </c>
      <c r="D32" s="7">
        <f t="shared" ref="D32:E32" si="19">+25000</f>
        <v>25000</v>
      </c>
      <c r="E32" s="7">
        <f t="shared" si="19"/>
        <v>25000</v>
      </c>
      <c r="F32" s="7">
        <f>+15000</f>
        <v>15000</v>
      </c>
      <c r="G32" s="7">
        <f t="shared" ref="G32:I32" si="20">+50000</f>
        <v>50000</v>
      </c>
      <c r="H32" s="7">
        <f t="shared" si="20"/>
        <v>50000</v>
      </c>
      <c r="I32" s="7">
        <f t="shared" si="20"/>
        <v>50000</v>
      </c>
      <c r="J32" s="7">
        <f t="shared" ref="J32:J33" si="22">+100000</f>
        <v>100000</v>
      </c>
      <c r="K32" s="7"/>
      <c r="L32" s="7"/>
      <c r="M32" s="7"/>
      <c r="N32" s="7"/>
    </row>
    <row r="33">
      <c r="A33" s="1" t="s">
        <v>25</v>
      </c>
      <c r="B33" s="1" t="s">
        <v>342</v>
      </c>
      <c r="C33" s="2" t="s">
        <v>373</v>
      </c>
      <c r="D33" s="7"/>
      <c r="E33" s="7">
        <f>+100000</f>
        <v>100000</v>
      </c>
      <c r="F33" s="7">
        <f t="shared" ref="F33:I33" si="21">+50000</f>
        <v>50000</v>
      </c>
      <c r="G33" s="7">
        <f t="shared" si="21"/>
        <v>50000</v>
      </c>
      <c r="H33" s="7">
        <f t="shared" si="21"/>
        <v>50000</v>
      </c>
      <c r="I33" s="7">
        <f t="shared" si="21"/>
        <v>50000</v>
      </c>
      <c r="J33" s="7">
        <f t="shared" si="22"/>
        <v>100000</v>
      </c>
      <c r="K33" s="7"/>
      <c r="L33" s="7"/>
      <c r="M33" s="7"/>
      <c r="N33" s="7"/>
    </row>
    <row r="34">
      <c r="A34" s="1" t="s">
        <v>25</v>
      </c>
      <c r="B34" s="1" t="s">
        <v>342</v>
      </c>
      <c r="C34" s="2" t="s">
        <v>374</v>
      </c>
      <c r="D34" s="7"/>
      <c r="E34" s="7">
        <f t="shared" ref="E34:F34" si="23">+25000</f>
        <v>25000</v>
      </c>
      <c r="F34" s="7">
        <f t="shared" si="23"/>
        <v>25000</v>
      </c>
      <c r="G34" s="7">
        <f>+75000</f>
        <v>75000</v>
      </c>
      <c r="H34" s="7">
        <f t="shared" ref="H34:H35" si="25">+100000</f>
        <v>100000</v>
      </c>
      <c r="I34" s="7"/>
      <c r="J34" s="7"/>
      <c r="K34" s="7"/>
      <c r="L34" s="7"/>
      <c r="M34" s="7"/>
      <c r="N34" s="7"/>
    </row>
    <row r="35">
      <c r="A35" s="1" t="s">
        <v>25</v>
      </c>
      <c r="B35" s="1" t="s">
        <v>342</v>
      </c>
      <c r="C35" s="2" t="s">
        <v>375</v>
      </c>
      <c r="D35" s="7"/>
      <c r="E35" s="7">
        <f>+150000</f>
        <v>150000</v>
      </c>
      <c r="F35" s="7">
        <f t="shared" ref="F35:G35" si="24">+75000</f>
        <v>75000</v>
      </c>
      <c r="G35" s="7">
        <f t="shared" si="24"/>
        <v>75000</v>
      </c>
      <c r="H35" s="7">
        <f t="shared" si="25"/>
        <v>100000</v>
      </c>
      <c r="I35" s="7"/>
      <c r="J35" s="7"/>
      <c r="K35" s="7"/>
      <c r="L35" s="7"/>
      <c r="M35" s="7"/>
      <c r="N35" s="7"/>
    </row>
    <row r="36">
      <c r="A36" s="1" t="s">
        <v>25</v>
      </c>
      <c r="B36" s="1" t="s">
        <v>342</v>
      </c>
      <c r="C36" s="2" t="s">
        <v>376</v>
      </c>
      <c r="D36" s="7">
        <f t="shared" ref="D36:E36" si="26">+50000</f>
        <v>50000</v>
      </c>
      <c r="E36" s="7">
        <f t="shared" si="26"/>
        <v>50000</v>
      </c>
      <c r="F36" s="7">
        <f t="shared" ref="F36:F37" si="28">+75000</f>
        <v>75000</v>
      </c>
      <c r="G36" s="7">
        <f t="shared" ref="G36:H36" si="27">+100000</f>
        <v>100000</v>
      </c>
      <c r="H36" s="7">
        <f t="shared" si="27"/>
        <v>100000</v>
      </c>
      <c r="I36" s="7"/>
      <c r="J36" s="7"/>
      <c r="K36" s="7"/>
      <c r="L36" s="7"/>
      <c r="M36" s="7"/>
      <c r="N36" s="7"/>
    </row>
    <row r="37">
      <c r="A37" s="1" t="s">
        <v>25</v>
      </c>
      <c r="B37" s="1" t="s">
        <v>342</v>
      </c>
      <c r="C37" s="2" t="s">
        <v>377</v>
      </c>
      <c r="D37" s="7"/>
      <c r="E37" s="7">
        <f>+100000</f>
        <v>100000</v>
      </c>
      <c r="F37" s="7">
        <f t="shared" si="28"/>
        <v>75000</v>
      </c>
      <c r="G37" s="7">
        <f t="shared" ref="G37:H37" si="29">+100000</f>
        <v>100000</v>
      </c>
      <c r="H37" s="7">
        <f t="shared" si="29"/>
        <v>100000</v>
      </c>
      <c r="I37" s="7"/>
      <c r="J37" s="7"/>
      <c r="K37" s="7"/>
      <c r="L37" s="7"/>
      <c r="M37" s="7"/>
      <c r="N37" s="7"/>
    </row>
    <row r="38">
      <c r="A38" s="1" t="s">
        <v>25</v>
      </c>
      <c r="B38" s="1" t="s">
        <v>342</v>
      </c>
      <c r="C38" s="2" t="s">
        <v>378</v>
      </c>
      <c r="D38" s="7">
        <f t="shared" ref="D38:E38" si="30">+50000</f>
        <v>50000</v>
      </c>
      <c r="E38" s="7">
        <f t="shared" si="30"/>
        <v>50000</v>
      </c>
      <c r="F38" s="7">
        <f t="shared" ref="F38:H38" si="31">+100000</f>
        <v>100000</v>
      </c>
      <c r="G38" s="7">
        <f t="shared" si="31"/>
        <v>100000</v>
      </c>
      <c r="H38" s="7">
        <f t="shared" si="31"/>
        <v>100000</v>
      </c>
      <c r="I38" s="7"/>
      <c r="J38" s="7"/>
      <c r="K38" s="7"/>
      <c r="L38" s="7"/>
      <c r="M38" s="7"/>
      <c r="N38" s="7"/>
    </row>
    <row r="39">
      <c r="A39" s="1" t="s">
        <v>25</v>
      </c>
      <c r="B39" s="1" t="s">
        <v>342</v>
      </c>
      <c r="C39" s="2" t="s">
        <v>379</v>
      </c>
      <c r="D39" s="7"/>
      <c r="E39" s="7">
        <f t="shared" ref="E39:H39" si="32">+100000</f>
        <v>100000</v>
      </c>
      <c r="F39" s="7">
        <f t="shared" si="32"/>
        <v>100000</v>
      </c>
      <c r="G39" s="7">
        <f t="shared" si="32"/>
        <v>100000</v>
      </c>
      <c r="H39" s="7">
        <f t="shared" si="32"/>
        <v>100000</v>
      </c>
      <c r="I39" s="7"/>
      <c r="J39" s="7"/>
      <c r="K39" s="7"/>
      <c r="L39" s="7"/>
      <c r="M39" s="7"/>
      <c r="N39" s="7"/>
    </row>
    <row r="40">
      <c r="A40" s="1" t="s">
        <v>25</v>
      </c>
      <c r="B40" s="1" t="s">
        <v>342</v>
      </c>
      <c r="C40" s="2" t="s">
        <v>380</v>
      </c>
      <c r="D40" s="7"/>
      <c r="E40" s="7">
        <f t="shared" ref="E40:H40" si="33">+100000</f>
        <v>100000</v>
      </c>
      <c r="F40" s="7">
        <f t="shared" si="33"/>
        <v>100000</v>
      </c>
      <c r="G40" s="7">
        <f t="shared" si="33"/>
        <v>100000</v>
      </c>
      <c r="H40" s="7">
        <f t="shared" si="33"/>
        <v>100000</v>
      </c>
      <c r="I40" s="7"/>
      <c r="J40" s="7"/>
      <c r="K40" s="7"/>
      <c r="L40" s="7"/>
      <c r="M40" s="7"/>
      <c r="N40" s="7"/>
    </row>
    <row r="41">
      <c r="A41" s="1" t="s">
        <v>25</v>
      </c>
      <c r="B41" s="1" t="s">
        <v>342</v>
      </c>
      <c r="C41" s="2" t="s">
        <v>381</v>
      </c>
      <c r="D41" s="7"/>
      <c r="E41" s="7">
        <f t="shared" ref="E41:E42" si="35">+150000</f>
        <v>150000</v>
      </c>
      <c r="F41" s="7">
        <f t="shared" ref="F41:H41" si="34">+100000</f>
        <v>100000</v>
      </c>
      <c r="G41" s="7">
        <f t="shared" si="34"/>
        <v>100000</v>
      </c>
      <c r="H41" s="7">
        <f t="shared" si="34"/>
        <v>100000</v>
      </c>
      <c r="I41" s="7"/>
      <c r="J41" s="7"/>
      <c r="K41" s="7"/>
      <c r="L41" s="7"/>
      <c r="M41" s="7"/>
      <c r="N41" s="7"/>
    </row>
    <row r="42">
      <c r="A42" s="1" t="s">
        <v>25</v>
      </c>
      <c r="B42" s="1" t="s">
        <v>342</v>
      </c>
      <c r="C42" s="2" t="s">
        <v>382</v>
      </c>
      <c r="D42" s="7"/>
      <c r="E42" s="7">
        <f t="shared" si="35"/>
        <v>150000</v>
      </c>
      <c r="F42" s="7">
        <f t="shared" ref="F42:H42" si="36">+100000</f>
        <v>100000</v>
      </c>
      <c r="G42" s="7">
        <f t="shared" si="36"/>
        <v>100000</v>
      </c>
      <c r="H42" s="7">
        <f t="shared" si="36"/>
        <v>100000</v>
      </c>
      <c r="I42" s="7"/>
      <c r="J42" s="7"/>
      <c r="K42" s="7"/>
      <c r="L42" s="7"/>
      <c r="M42" s="7"/>
      <c r="N42" s="7"/>
    </row>
    <row r="43">
      <c r="C43" s="3" t="s">
        <v>2</v>
      </c>
      <c r="D43" s="5">
        <v>45785.0</v>
      </c>
      <c r="E43" s="4">
        <v>45888.0</v>
      </c>
      <c r="F43" s="4">
        <v>45931.0</v>
      </c>
      <c r="G43" s="4">
        <v>45962.0</v>
      </c>
      <c r="H43" s="4">
        <v>45992.0</v>
      </c>
      <c r="I43" s="4">
        <v>45658.0</v>
      </c>
      <c r="J43" s="4">
        <v>45689.0</v>
      </c>
      <c r="K43" s="4">
        <v>45717.0</v>
      </c>
      <c r="L43" s="4">
        <v>45748.0</v>
      </c>
      <c r="M43" s="5">
        <v>45778.0</v>
      </c>
      <c r="N43" s="6"/>
    </row>
    <row r="44">
      <c r="A44" s="1" t="s">
        <v>47</v>
      </c>
      <c r="B44" s="1" t="s">
        <v>342</v>
      </c>
      <c r="C44" s="2" t="s">
        <v>383</v>
      </c>
      <c r="D44" s="7">
        <f t="shared" ref="D44:D45" si="37">+350</f>
        <v>350</v>
      </c>
      <c r="E44" s="7">
        <f>+175</f>
        <v>175</v>
      </c>
      <c r="F44" s="7">
        <f>+110</f>
        <v>110</v>
      </c>
      <c r="G44" s="8">
        <v>-110.0</v>
      </c>
      <c r="H44" s="7">
        <f>+110</f>
        <v>110</v>
      </c>
      <c r="I44" s="8">
        <v>-400.0</v>
      </c>
      <c r="J44" s="8">
        <v>-350.0</v>
      </c>
      <c r="K44" s="8">
        <v>-25000.0</v>
      </c>
      <c r="L44" s="7"/>
      <c r="M44" s="7"/>
      <c r="N44" s="8" t="s">
        <v>27</v>
      </c>
    </row>
    <row r="45">
      <c r="A45" s="1" t="s">
        <v>47</v>
      </c>
      <c r="B45" s="1" t="s">
        <v>342</v>
      </c>
      <c r="C45" s="2" t="s">
        <v>384</v>
      </c>
      <c r="D45" s="7">
        <f t="shared" si="37"/>
        <v>350</v>
      </c>
      <c r="E45" s="7">
        <f>+375</f>
        <v>375</v>
      </c>
      <c r="F45" s="7">
        <f>+500</f>
        <v>500</v>
      </c>
      <c r="G45" s="7">
        <f>+300</f>
        <v>300</v>
      </c>
      <c r="H45" s="7">
        <f>+500</f>
        <v>500</v>
      </c>
      <c r="I45" s="7">
        <f>+300</f>
        <v>300</v>
      </c>
      <c r="J45" s="7">
        <f>+250</f>
        <v>250</v>
      </c>
      <c r="K45" s="7">
        <f>+4000</f>
        <v>4000</v>
      </c>
      <c r="L45" s="7"/>
      <c r="M45" s="7"/>
      <c r="N45" s="7"/>
    </row>
    <row r="46">
      <c r="A46" s="1" t="s">
        <v>47</v>
      </c>
      <c r="B46" s="1" t="s">
        <v>342</v>
      </c>
      <c r="C46" s="2" t="s">
        <v>385</v>
      </c>
      <c r="D46" s="7">
        <f>+450</f>
        <v>450</v>
      </c>
      <c r="E46" s="7">
        <f>+400</f>
        <v>400</v>
      </c>
      <c r="F46" s="7">
        <f t="shared" ref="F46:H46" si="38">+300</f>
        <v>300</v>
      </c>
      <c r="G46" s="7">
        <f t="shared" si="38"/>
        <v>300</v>
      </c>
      <c r="H46" s="7">
        <f t="shared" si="38"/>
        <v>300</v>
      </c>
      <c r="I46" s="7">
        <f>+1400</f>
        <v>1400</v>
      </c>
      <c r="J46" s="7">
        <f>+2000</f>
        <v>2000</v>
      </c>
      <c r="K46" s="7">
        <f>+8000</f>
        <v>8000</v>
      </c>
      <c r="L46" s="7"/>
      <c r="M46" s="7"/>
      <c r="N46" s="7"/>
    </row>
    <row r="47">
      <c r="A47" s="1" t="s">
        <v>47</v>
      </c>
      <c r="B47" s="1" t="s">
        <v>342</v>
      </c>
      <c r="C47" s="2" t="s">
        <v>386</v>
      </c>
      <c r="D47" s="7">
        <f t="shared" ref="D47:E47" si="39">+1100</f>
        <v>1100</v>
      </c>
      <c r="E47" s="7">
        <f t="shared" si="39"/>
        <v>1100</v>
      </c>
      <c r="F47" s="7">
        <f>+5000</f>
        <v>5000</v>
      </c>
      <c r="G47" s="7">
        <f>+6600</f>
        <v>6600</v>
      </c>
      <c r="H47" s="7">
        <f>+5000</f>
        <v>5000</v>
      </c>
      <c r="I47" s="7">
        <f t="shared" ref="I47:I48" si="42">+10000</f>
        <v>10000</v>
      </c>
      <c r="J47" s="7">
        <f t="shared" ref="J47:J49" si="43">+25000</f>
        <v>25000</v>
      </c>
      <c r="K47" s="7"/>
      <c r="L47" s="7"/>
      <c r="M47" s="7"/>
      <c r="N47" s="7"/>
    </row>
    <row r="48">
      <c r="A48" s="1" t="s">
        <v>47</v>
      </c>
      <c r="B48" s="1" t="s">
        <v>342</v>
      </c>
      <c r="C48" s="2" t="s">
        <v>387</v>
      </c>
      <c r="D48" s="7">
        <f t="shared" ref="D48:E48" si="40">+10000</f>
        <v>10000</v>
      </c>
      <c r="E48" s="7">
        <f t="shared" si="40"/>
        <v>10000</v>
      </c>
      <c r="F48" s="7">
        <f t="shared" ref="F48:H48" si="41">+6600</f>
        <v>6600</v>
      </c>
      <c r="G48" s="7">
        <f t="shared" si="41"/>
        <v>6600</v>
      </c>
      <c r="H48" s="7">
        <f t="shared" si="41"/>
        <v>6600</v>
      </c>
      <c r="I48" s="7">
        <f t="shared" si="42"/>
        <v>10000</v>
      </c>
      <c r="J48" s="7">
        <f t="shared" si="43"/>
        <v>25000</v>
      </c>
      <c r="K48" s="7"/>
      <c r="L48" s="7"/>
      <c r="M48" s="7"/>
      <c r="N48" s="7"/>
    </row>
    <row r="49">
      <c r="A49" s="1" t="s">
        <v>47</v>
      </c>
      <c r="B49" s="1" t="s">
        <v>342</v>
      </c>
      <c r="C49" s="2" t="s">
        <v>388</v>
      </c>
      <c r="D49" s="7">
        <f>+3300</f>
        <v>3300</v>
      </c>
      <c r="E49" s="7">
        <f>+2500</f>
        <v>2500</v>
      </c>
      <c r="F49" s="7">
        <f>+3300</f>
        <v>3300</v>
      </c>
      <c r="G49" s="7">
        <f>+2800</f>
        <v>2800</v>
      </c>
      <c r="H49" s="7">
        <f>+3300</f>
        <v>3300</v>
      </c>
      <c r="I49" s="7">
        <f>+15000</f>
        <v>15000</v>
      </c>
      <c r="J49" s="7">
        <f t="shared" si="43"/>
        <v>25000</v>
      </c>
      <c r="K49" s="7"/>
      <c r="L49" s="7"/>
      <c r="M49" s="7"/>
      <c r="N49" s="7"/>
    </row>
    <row r="50">
      <c r="A50" s="1" t="s">
        <v>47</v>
      </c>
      <c r="B50" s="1" t="s">
        <v>342</v>
      </c>
      <c r="C50" s="2" t="s">
        <v>389</v>
      </c>
      <c r="D50" s="7">
        <f>+1100</f>
        <v>1100</v>
      </c>
      <c r="E50" s="7">
        <f>+1200</f>
        <v>1200</v>
      </c>
      <c r="F50" s="7">
        <f>+5000</f>
        <v>5000</v>
      </c>
      <c r="G50" s="7">
        <f>+6600</f>
        <v>6600</v>
      </c>
      <c r="H50" s="7">
        <f>+5000</f>
        <v>5000</v>
      </c>
      <c r="I50" s="7">
        <f t="shared" ref="I50:J50" si="44">+25000</f>
        <v>25000</v>
      </c>
      <c r="J50" s="7">
        <f t="shared" si="44"/>
        <v>25000</v>
      </c>
      <c r="K50" s="7"/>
      <c r="L50" s="7"/>
      <c r="M50" s="7"/>
      <c r="N50" s="7"/>
    </row>
    <row r="51">
      <c r="A51" s="1" t="s">
        <v>47</v>
      </c>
      <c r="B51" s="1" t="s">
        <v>342</v>
      </c>
      <c r="C51" s="2" t="s">
        <v>390</v>
      </c>
      <c r="D51" s="7">
        <f>+200</f>
        <v>200</v>
      </c>
      <c r="E51" s="7">
        <f>+250</f>
        <v>250</v>
      </c>
      <c r="F51" s="7">
        <f>+600</f>
        <v>600</v>
      </c>
      <c r="G51" s="7">
        <f>+900</f>
        <v>900</v>
      </c>
      <c r="H51" s="7">
        <f>+600</f>
        <v>600</v>
      </c>
      <c r="I51" s="7">
        <f>+10000</f>
        <v>10000</v>
      </c>
      <c r="J51" s="7">
        <f t="shared" ref="J51:J52" si="46">+50000</f>
        <v>50000</v>
      </c>
      <c r="K51" s="7"/>
      <c r="L51" s="7"/>
      <c r="M51" s="7"/>
      <c r="N51" s="7"/>
    </row>
    <row r="52">
      <c r="A52" s="1" t="s">
        <v>47</v>
      </c>
      <c r="B52" s="1" t="s">
        <v>342</v>
      </c>
      <c r="C52" s="2" t="s">
        <v>391</v>
      </c>
      <c r="D52" s="7">
        <f t="shared" ref="D52:E52" si="45">+50000</f>
        <v>50000</v>
      </c>
      <c r="E52" s="7">
        <f t="shared" si="45"/>
        <v>50000</v>
      </c>
      <c r="F52" s="7">
        <f>+75000</f>
        <v>75000</v>
      </c>
      <c r="G52" s="7">
        <f>+25000</f>
        <v>25000</v>
      </c>
      <c r="H52" s="7">
        <f>+75000</f>
        <v>75000</v>
      </c>
      <c r="I52" s="7">
        <f>+25000</f>
        <v>25000</v>
      </c>
      <c r="J52" s="7">
        <f t="shared" si="46"/>
        <v>50000</v>
      </c>
      <c r="K52" s="7"/>
      <c r="L52" s="7"/>
      <c r="M52" s="7"/>
      <c r="N52" s="7"/>
    </row>
    <row r="53">
      <c r="A53" s="1" t="s">
        <v>47</v>
      </c>
      <c r="B53" s="1" t="s">
        <v>342</v>
      </c>
      <c r="C53" s="2" t="s">
        <v>392</v>
      </c>
      <c r="D53" s="7">
        <f t="shared" ref="D53:E53" si="47">+25000</f>
        <v>25000</v>
      </c>
      <c r="E53" s="7">
        <f t="shared" si="47"/>
        <v>25000</v>
      </c>
      <c r="F53" s="7">
        <f t="shared" ref="F53:H53" si="48">+50000</f>
        <v>50000</v>
      </c>
      <c r="G53" s="7">
        <f t="shared" si="48"/>
        <v>50000</v>
      </c>
      <c r="H53" s="7">
        <f t="shared" si="48"/>
        <v>50000</v>
      </c>
      <c r="I53" s="7">
        <f t="shared" ref="I53:I54" si="49">+100000</f>
        <v>100000</v>
      </c>
      <c r="J53" s="7"/>
      <c r="K53" s="7"/>
      <c r="L53" s="7"/>
      <c r="M53" s="7"/>
      <c r="N53" s="7"/>
    </row>
    <row r="54">
      <c r="A54" s="1" t="s">
        <v>47</v>
      </c>
      <c r="B54" s="1" t="s">
        <v>342</v>
      </c>
      <c r="C54" s="2" t="s">
        <v>393</v>
      </c>
      <c r="D54" s="7">
        <f>+10000</f>
        <v>10000</v>
      </c>
      <c r="E54" s="7">
        <f>+15000</f>
        <v>15000</v>
      </c>
      <c r="F54" s="7">
        <f>+75000</f>
        <v>75000</v>
      </c>
      <c r="G54" s="7">
        <f>+50000</f>
        <v>50000</v>
      </c>
      <c r="H54" s="7">
        <f>+75000</f>
        <v>75000</v>
      </c>
      <c r="I54" s="7">
        <f t="shared" si="49"/>
        <v>100000</v>
      </c>
      <c r="J54" s="7"/>
      <c r="K54" s="7"/>
      <c r="L54" s="7"/>
      <c r="M54" s="7"/>
      <c r="N54" s="7"/>
    </row>
    <row r="55">
      <c r="A55" s="1" t="s">
        <v>47</v>
      </c>
      <c r="B55" s="1" t="s">
        <v>342</v>
      </c>
      <c r="C55" s="2" t="s">
        <v>394</v>
      </c>
      <c r="D55" s="7">
        <f t="shared" ref="D55:F55" si="50">+25000</f>
        <v>25000</v>
      </c>
      <c r="E55" s="7">
        <f t="shared" si="50"/>
        <v>25000</v>
      </c>
      <c r="F55" s="7">
        <f t="shared" si="50"/>
        <v>25000</v>
      </c>
      <c r="G55" s="7">
        <f>+75000</f>
        <v>75000</v>
      </c>
      <c r="H55" s="7">
        <f>+25000</f>
        <v>25000</v>
      </c>
      <c r="I55" s="7"/>
      <c r="J55" s="7"/>
      <c r="K55" s="7"/>
      <c r="L55" s="7"/>
      <c r="M55" s="7"/>
      <c r="N55" s="7"/>
    </row>
    <row r="56">
      <c r="A56" s="1" t="s">
        <v>47</v>
      </c>
      <c r="B56" s="1" t="s">
        <v>342</v>
      </c>
      <c r="C56" s="2" t="s">
        <v>395</v>
      </c>
      <c r="D56" s="7">
        <f t="shared" ref="D56:D57" si="51">+100000</f>
        <v>100000</v>
      </c>
      <c r="E56" s="7">
        <f>+250000</f>
        <v>250000</v>
      </c>
      <c r="F56" s="7">
        <f>+75000</f>
        <v>75000</v>
      </c>
      <c r="G56" s="7">
        <f>+150000</f>
        <v>150000</v>
      </c>
      <c r="H56" s="7">
        <f>+75000</f>
        <v>75000</v>
      </c>
      <c r="I56" s="7"/>
      <c r="J56" s="7"/>
      <c r="K56" s="7"/>
      <c r="L56" s="7"/>
      <c r="M56" s="7"/>
      <c r="N56" s="7"/>
    </row>
    <row r="57">
      <c r="A57" s="1" t="s">
        <v>47</v>
      </c>
      <c r="B57" s="1" t="s">
        <v>342</v>
      </c>
      <c r="C57" s="2" t="s">
        <v>396</v>
      </c>
      <c r="D57" s="7">
        <f t="shared" si="51"/>
        <v>100000</v>
      </c>
      <c r="E57" s="7">
        <f>+100000</f>
        <v>100000</v>
      </c>
      <c r="F57" s="7">
        <f t="shared" ref="F57:F58" si="53">+150000</f>
        <v>150000</v>
      </c>
      <c r="G57" s="7">
        <f>+100000</f>
        <v>100000</v>
      </c>
      <c r="H57" s="7">
        <f t="shared" ref="H57:H58" si="54">+150000</f>
        <v>150000</v>
      </c>
      <c r="I57" s="7"/>
      <c r="J57" s="7"/>
      <c r="K57" s="7"/>
      <c r="L57" s="7"/>
      <c r="M57" s="7"/>
      <c r="N57" s="7"/>
    </row>
    <row r="58">
      <c r="A58" s="1" t="s">
        <v>47</v>
      </c>
      <c r="B58" s="1" t="s">
        <v>342</v>
      </c>
      <c r="C58" s="2" t="s">
        <v>397</v>
      </c>
      <c r="D58" s="7">
        <f t="shared" ref="D58:E58" si="52">+50000</f>
        <v>50000</v>
      </c>
      <c r="E58" s="7">
        <f t="shared" si="52"/>
        <v>50000</v>
      </c>
      <c r="F58" s="7">
        <f t="shared" si="53"/>
        <v>150000</v>
      </c>
      <c r="G58" s="7">
        <f>+250000</f>
        <v>250000</v>
      </c>
      <c r="H58" s="7">
        <f t="shared" si="54"/>
        <v>150000</v>
      </c>
      <c r="I58" s="7"/>
      <c r="J58" s="7"/>
      <c r="K58" s="7"/>
      <c r="L58" s="7"/>
      <c r="M58" s="7"/>
      <c r="N58" s="7"/>
    </row>
    <row r="59">
      <c r="A59" s="1" t="s">
        <v>47</v>
      </c>
      <c r="B59" s="1" t="s">
        <v>342</v>
      </c>
      <c r="C59" s="2" t="s">
        <v>398</v>
      </c>
      <c r="D59" s="7">
        <f t="shared" ref="D59:D60" si="55">+200000</f>
        <v>200000</v>
      </c>
      <c r="E59" s="7">
        <f>+250000</f>
        <v>250000</v>
      </c>
      <c r="F59" s="7">
        <f t="shared" ref="F59:F62" si="56">+200000</f>
        <v>200000</v>
      </c>
      <c r="G59" s="7">
        <f>+150000</f>
        <v>150000</v>
      </c>
      <c r="H59" s="7">
        <f t="shared" ref="H59:H62" si="57">+200000</f>
        <v>200000</v>
      </c>
      <c r="I59" s="7"/>
      <c r="J59" s="7"/>
      <c r="K59" s="7"/>
      <c r="L59" s="7"/>
      <c r="M59" s="7"/>
      <c r="N59" s="7"/>
    </row>
    <row r="60">
      <c r="A60" s="1" t="s">
        <v>47</v>
      </c>
      <c r="B60" s="1" t="s">
        <v>342</v>
      </c>
      <c r="C60" s="2" t="s">
        <v>399</v>
      </c>
      <c r="D60" s="7">
        <f t="shared" si="55"/>
        <v>200000</v>
      </c>
      <c r="E60" s="7">
        <f>+100000</f>
        <v>100000</v>
      </c>
      <c r="F60" s="7">
        <f t="shared" si="56"/>
        <v>200000</v>
      </c>
      <c r="G60" s="7">
        <f t="shared" ref="G60:G62" si="58">+250000</f>
        <v>250000</v>
      </c>
      <c r="H60" s="7">
        <f t="shared" si="57"/>
        <v>200000</v>
      </c>
      <c r="I60" s="7"/>
      <c r="J60" s="7"/>
      <c r="K60" s="7"/>
      <c r="L60" s="7"/>
      <c r="M60" s="7"/>
      <c r="N60" s="7"/>
    </row>
    <row r="61">
      <c r="A61" s="1" t="s">
        <v>47</v>
      </c>
      <c r="B61" s="1" t="s">
        <v>342</v>
      </c>
      <c r="C61" s="2" t="s">
        <v>400</v>
      </c>
      <c r="D61" s="7">
        <f>+75000</f>
        <v>75000</v>
      </c>
      <c r="E61" s="7">
        <f>+150000</f>
        <v>150000</v>
      </c>
      <c r="F61" s="7">
        <f t="shared" si="56"/>
        <v>200000</v>
      </c>
      <c r="G61" s="7">
        <f t="shared" si="58"/>
        <v>250000</v>
      </c>
      <c r="H61" s="7">
        <f t="shared" si="57"/>
        <v>200000</v>
      </c>
      <c r="I61" s="7"/>
      <c r="J61" s="7"/>
      <c r="K61" s="7"/>
      <c r="L61" s="7"/>
      <c r="M61" s="7"/>
      <c r="N61" s="7"/>
    </row>
    <row r="62">
      <c r="A62" s="1" t="s">
        <v>47</v>
      </c>
      <c r="B62" s="1" t="s">
        <v>342</v>
      </c>
      <c r="C62" s="2" t="s">
        <v>401</v>
      </c>
      <c r="D62" s="7">
        <f>+150000</f>
        <v>150000</v>
      </c>
      <c r="E62" s="7">
        <f>+250000</f>
        <v>250000</v>
      </c>
      <c r="F62" s="7">
        <f t="shared" si="56"/>
        <v>200000</v>
      </c>
      <c r="G62" s="7">
        <f t="shared" si="58"/>
        <v>250000</v>
      </c>
      <c r="H62" s="7">
        <f t="shared" si="57"/>
        <v>200000</v>
      </c>
      <c r="I62" s="7"/>
      <c r="J62" s="7"/>
      <c r="K62" s="7"/>
      <c r="L62" s="7"/>
      <c r="M62" s="7"/>
      <c r="N62" s="7"/>
    </row>
    <row r="63">
      <c r="A63" s="1" t="s">
        <v>47</v>
      </c>
      <c r="B63" s="1" t="s">
        <v>342</v>
      </c>
      <c r="C63" s="2" t="s">
        <v>402</v>
      </c>
      <c r="D63" s="7">
        <f t="shared" ref="D63:E63" si="59">+100000</f>
        <v>100000</v>
      </c>
      <c r="E63" s="7">
        <f t="shared" si="59"/>
        <v>100000</v>
      </c>
      <c r="F63" s="7">
        <f t="shared" ref="F63:H63" si="60">+250000</f>
        <v>250000</v>
      </c>
      <c r="G63" s="7">
        <f t="shared" si="60"/>
        <v>250000</v>
      </c>
      <c r="H63" s="7">
        <f t="shared" si="60"/>
        <v>250000</v>
      </c>
      <c r="I63" s="7"/>
      <c r="J63" s="7"/>
      <c r="K63" s="7"/>
      <c r="L63" s="7"/>
      <c r="M63" s="7"/>
      <c r="N63" s="7"/>
    </row>
    <row r="64">
      <c r="C64" s="3" t="s">
        <v>2</v>
      </c>
      <c r="D64" s="4">
        <v>45809.0</v>
      </c>
      <c r="E64" s="4">
        <v>45882.0</v>
      </c>
      <c r="F64" s="4">
        <v>45931.0</v>
      </c>
      <c r="G64" s="4">
        <v>45962.0</v>
      </c>
      <c r="H64" s="4">
        <v>45992.0</v>
      </c>
      <c r="I64" s="4">
        <v>45658.0</v>
      </c>
      <c r="J64" s="4">
        <v>45689.0</v>
      </c>
      <c r="K64" s="4">
        <v>45717.0</v>
      </c>
      <c r="L64" s="4">
        <v>45748.0</v>
      </c>
      <c r="M64" s="5">
        <v>45778.0</v>
      </c>
      <c r="N64" s="6"/>
    </row>
    <row r="65">
      <c r="A65" s="1" t="s">
        <v>68</v>
      </c>
      <c r="B65" s="1" t="s">
        <v>342</v>
      </c>
      <c r="C65" s="2" t="s">
        <v>403</v>
      </c>
      <c r="D65" s="7">
        <f>+650</f>
        <v>650</v>
      </c>
      <c r="E65" s="7">
        <f>+1400</f>
        <v>1400</v>
      </c>
      <c r="F65" s="7">
        <f>+225</f>
        <v>225</v>
      </c>
      <c r="G65" s="8">
        <v>-120.0</v>
      </c>
      <c r="H65" s="8">
        <v>-250.0</v>
      </c>
      <c r="I65" s="8">
        <v>-250.0</v>
      </c>
      <c r="J65" s="8">
        <v>-1600.0</v>
      </c>
      <c r="K65" s="8">
        <v>-10000.0</v>
      </c>
      <c r="L65" s="8">
        <v>-5000.0</v>
      </c>
      <c r="M65" s="7"/>
      <c r="N65" s="8" t="s">
        <v>27</v>
      </c>
    </row>
    <row r="66">
      <c r="A66" s="1" t="s">
        <v>68</v>
      </c>
      <c r="B66" s="1" t="s">
        <v>342</v>
      </c>
      <c r="C66" s="2" t="s">
        <v>404</v>
      </c>
      <c r="D66" s="7">
        <f>+225</f>
        <v>225</v>
      </c>
      <c r="E66" s="7">
        <f>+300</f>
        <v>300</v>
      </c>
      <c r="F66" s="7">
        <f>+250</f>
        <v>250</v>
      </c>
      <c r="G66" s="7">
        <f>+350</f>
        <v>350</v>
      </c>
      <c r="H66" s="7">
        <f t="shared" ref="H66:I66" si="61">+550</f>
        <v>550</v>
      </c>
      <c r="I66" s="7">
        <f t="shared" si="61"/>
        <v>550</v>
      </c>
      <c r="J66" s="7">
        <f>+3300</f>
        <v>3300</v>
      </c>
      <c r="K66" s="7">
        <f t="shared" ref="K66:K67" si="63">+5000</f>
        <v>5000</v>
      </c>
      <c r="L66" s="7">
        <f t="shared" ref="L66:L67" si="64">+10000</f>
        <v>10000</v>
      </c>
      <c r="M66" s="7"/>
      <c r="N66" s="7"/>
    </row>
    <row r="67">
      <c r="A67" s="1" t="s">
        <v>68</v>
      </c>
      <c r="B67" s="1" t="s">
        <v>342</v>
      </c>
      <c r="C67" s="2" t="s">
        <v>405</v>
      </c>
      <c r="D67" s="7">
        <f>+200</f>
        <v>200</v>
      </c>
      <c r="E67" s="7">
        <f>+160</f>
        <v>160</v>
      </c>
      <c r="F67" s="7">
        <f>+800</f>
        <v>800</v>
      </c>
      <c r="G67" s="7">
        <f>+1100</f>
        <v>1100</v>
      </c>
      <c r="H67" s="7">
        <f t="shared" ref="H67:I67" si="62">+650</f>
        <v>650</v>
      </c>
      <c r="I67" s="7">
        <f t="shared" si="62"/>
        <v>650</v>
      </c>
      <c r="J67" s="7"/>
      <c r="K67" s="7">
        <f t="shared" si="63"/>
        <v>5000</v>
      </c>
      <c r="L67" s="7">
        <f t="shared" si="64"/>
        <v>10000</v>
      </c>
      <c r="M67" s="7"/>
      <c r="N67" s="7"/>
    </row>
    <row r="68">
      <c r="A68" s="1" t="s">
        <v>68</v>
      </c>
      <c r="B68" s="1" t="s">
        <v>342</v>
      </c>
      <c r="C68" s="2" t="s">
        <v>406</v>
      </c>
      <c r="D68" s="7">
        <f>+4000</f>
        <v>4000</v>
      </c>
      <c r="E68" s="7">
        <f>+5000</f>
        <v>5000</v>
      </c>
      <c r="F68" s="7">
        <f>+1600</f>
        <v>1600</v>
      </c>
      <c r="G68" s="7">
        <f>+3300</f>
        <v>3300</v>
      </c>
      <c r="H68" s="7">
        <f t="shared" ref="H68:I68" si="65">+2500</f>
        <v>2500</v>
      </c>
      <c r="I68" s="7">
        <f t="shared" si="65"/>
        <v>2500</v>
      </c>
      <c r="J68" s="7">
        <f>+5000</f>
        <v>5000</v>
      </c>
      <c r="K68" s="7">
        <f>+6600</f>
        <v>6600</v>
      </c>
      <c r="L68" s="7">
        <f>+15000</f>
        <v>15000</v>
      </c>
      <c r="M68" s="7"/>
      <c r="N68" s="7"/>
    </row>
    <row r="69">
      <c r="A69" s="1" t="s">
        <v>68</v>
      </c>
      <c r="B69" s="1" t="s">
        <v>342</v>
      </c>
      <c r="C69" s="2" t="s">
        <v>407</v>
      </c>
      <c r="D69" s="7">
        <f>+1400</f>
        <v>1400</v>
      </c>
      <c r="E69" s="7">
        <f t="shared" ref="E69:F69" si="66">+650</f>
        <v>650</v>
      </c>
      <c r="F69" s="7">
        <f t="shared" si="66"/>
        <v>650</v>
      </c>
      <c r="G69" s="7">
        <f>+1100</f>
        <v>1100</v>
      </c>
      <c r="H69" s="7">
        <f t="shared" ref="H69:I69" si="67">+3300</f>
        <v>3300</v>
      </c>
      <c r="I69" s="7">
        <f t="shared" si="67"/>
        <v>3300</v>
      </c>
      <c r="J69" s="7">
        <f>+10000</f>
        <v>10000</v>
      </c>
      <c r="K69" s="7">
        <f>+5000</f>
        <v>5000</v>
      </c>
      <c r="L69" s="7">
        <f>+50000</f>
        <v>50000</v>
      </c>
      <c r="M69" s="7"/>
      <c r="N69" s="7"/>
    </row>
    <row r="70">
      <c r="A70" s="1" t="s">
        <v>68</v>
      </c>
      <c r="B70" s="1" t="s">
        <v>342</v>
      </c>
      <c r="C70" s="2" t="s">
        <v>408</v>
      </c>
      <c r="D70" s="7">
        <f>+175</f>
        <v>175</v>
      </c>
      <c r="E70" s="7">
        <f>+170</f>
        <v>170</v>
      </c>
      <c r="F70" s="7">
        <f>+550</f>
        <v>550</v>
      </c>
      <c r="G70" s="7">
        <f>+450</f>
        <v>450</v>
      </c>
      <c r="H70" s="7">
        <f t="shared" ref="H70:I70" si="68">+650</f>
        <v>650</v>
      </c>
      <c r="I70" s="7">
        <f t="shared" si="68"/>
        <v>650</v>
      </c>
      <c r="J70" s="7">
        <f>+1000</f>
        <v>1000</v>
      </c>
      <c r="K70" s="7">
        <f>+2500</f>
        <v>2500</v>
      </c>
      <c r="L70" s="7"/>
      <c r="M70" s="7"/>
      <c r="N70" s="7"/>
    </row>
    <row r="71">
      <c r="A71" s="1" t="s">
        <v>68</v>
      </c>
      <c r="B71" s="1" t="s">
        <v>342</v>
      </c>
      <c r="C71" s="2" t="s">
        <v>409</v>
      </c>
      <c r="D71" s="7">
        <f>+2500</f>
        <v>2500</v>
      </c>
      <c r="E71" s="7">
        <f>+3300</f>
        <v>3300</v>
      </c>
      <c r="F71" s="7">
        <f>+900</f>
        <v>900</v>
      </c>
      <c r="G71" s="7">
        <f>+1100</f>
        <v>1100</v>
      </c>
      <c r="H71" s="7">
        <f t="shared" ref="H71:I71" si="69">+4000</f>
        <v>4000</v>
      </c>
      <c r="I71" s="7">
        <f t="shared" si="69"/>
        <v>4000</v>
      </c>
      <c r="J71" s="7">
        <f t="shared" ref="J71:K71" si="70">+5000</f>
        <v>5000</v>
      </c>
      <c r="K71" s="7">
        <f t="shared" si="70"/>
        <v>5000</v>
      </c>
      <c r="L71" s="7"/>
      <c r="M71" s="7"/>
      <c r="N71" s="7"/>
    </row>
    <row r="72">
      <c r="A72" s="1" t="s">
        <v>68</v>
      </c>
      <c r="B72" s="1" t="s">
        <v>342</v>
      </c>
      <c r="C72" s="2" t="s">
        <v>410</v>
      </c>
      <c r="D72" s="7">
        <f t="shared" ref="D72:E72" si="71">+5000</f>
        <v>5000</v>
      </c>
      <c r="E72" s="7">
        <f t="shared" si="71"/>
        <v>5000</v>
      </c>
      <c r="F72" s="7">
        <f>+25000</f>
        <v>25000</v>
      </c>
      <c r="G72" s="7">
        <f t="shared" ref="G72:I72" si="72">+50000</f>
        <v>50000</v>
      </c>
      <c r="H72" s="7">
        <f t="shared" si="72"/>
        <v>50000</v>
      </c>
      <c r="I72" s="7">
        <f t="shared" si="72"/>
        <v>50000</v>
      </c>
      <c r="J72" s="7"/>
      <c r="K72" s="7"/>
      <c r="L72" s="7"/>
      <c r="M72" s="7"/>
      <c r="N72" s="7"/>
    </row>
    <row r="73">
      <c r="A73" s="1" t="s">
        <v>68</v>
      </c>
      <c r="B73" s="1" t="s">
        <v>342</v>
      </c>
      <c r="C73" s="2" t="s">
        <v>411</v>
      </c>
      <c r="D73" s="7">
        <f t="shared" ref="D73:E73" si="73">+25000</f>
        <v>25000</v>
      </c>
      <c r="E73" s="7">
        <f t="shared" si="73"/>
        <v>25000</v>
      </c>
      <c r="F73" s="7">
        <f t="shared" ref="F73:I73" si="74">+50000</f>
        <v>50000</v>
      </c>
      <c r="G73" s="7">
        <f t="shared" si="74"/>
        <v>50000</v>
      </c>
      <c r="H73" s="7">
        <f t="shared" si="74"/>
        <v>50000</v>
      </c>
      <c r="I73" s="7">
        <f t="shared" si="74"/>
        <v>50000</v>
      </c>
      <c r="J73" s="7"/>
      <c r="K73" s="7"/>
      <c r="L73" s="7"/>
      <c r="M73" s="7"/>
      <c r="N73" s="7"/>
    </row>
    <row r="74">
      <c r="A74" s="1" t="s">
        <v>68</v>
      </c>
      <c r="B74" s="1" t="s">
        <v>342</v>
      </c>
      <c r="C74" s="2" t="s">
        <v>412</v>
      </c>
      <c r="D74" s="7">
        <f t="shared" ref="D74:E74" si="75">+100000</f>
        <v>100000</v>
      </c>
      <c r="E74" s="7">
        <f t="shared" si="75"/>
        <v>100000</v>
      </c>
      <c r="F74" s="7">
        <f>+5000</f>
        <v>5000</v>
      </c>
      <c r="G74" s="7">
        <f>+15000</f>
        <v>15000</v>
      </c>
      <c r="H74" s="7">
        <f>+25000</f>
        <v>25000</v>
      </c>
      <c r="I74" s="7"/>
      <c r="J74" s="7"/>
      <c r="K74" s="7"/>
      <c r="L74" s="7"/>
      <c r="M74" s="7"/>
      <c r="N74" s="7"/>
    </row>
    <row r="75">
      <c r="A75" s="1" t="s">
        <v>68</v>
      </c>
      <c r="B75" s="1" t="s">
        <v>342</v>
      </c>
      <c r="C75" s="2" t="s">
        <v>413</v>
      </c>
      <c r="D75" s="7">
        <f>+75000</f>
        <v>75000</v>
      </c>
      <c r="E75" s="7">
        <f>+15000</f>
        <v>15000</v>
      </c>
      <c r="F75" s="7">
        <f>+75000</f>
        <v>75000</v>
      </c>
      <c r="G75" s="7">
        <f>+100000</f>
        <v>100000</v>
      </c>
      <c r="H75" s="7"/>
      <c r="I75" s="7"/>
      <c r="J75" s="7"/>
      <c r="K75" s="7"/>
      <c r="L75" s="7"/>
      <c r="M75" s="7"/>
      <c r="N75" s="7"/>
    </row>
    <row r="76">
      <c r="A76" s="1" t="s">
        <v>68</v>
      </c>
      <c r="B76" s="1" t="s">
        <v>342</v>
      </c>
      <c r="C76" s="2" t="s">
        <v>414</v>
      </c>
      <c r="D76" s="7">
        <f t="shared" ref="D76:E76" si="76">+50000</f>
        <v>50000</v>
      </c>
      <c r="E76" s="7">
        <f t="shared" si="76"/>
        <v>50000</v>
      </c>
      <c r="F76" s="7">
        <f t="shared" ref="F76:G76" si="77">+100000</f>
        <v>100000</v>
      </c>
      <c r="G76" s="7">
        <f t="shared" si="77"/>
        <v>100000</v>
      </c>
      <c r="H76" s="7"/>
      <c r="I76" s="7"/>
      <c r="J76" s="7"/>
      <c r="K76" s="7"/>
      <c r="L76" s="7"/>
      <c r="M76" s="7"/>
      <c r="N76" s="7"/>
    </row>
    <row r="77">
      <c r="A77" s="1" t="s">
        <v>68</v>
      </c>
      <c r="B77" s="1" t="s">
        <v>342</v>
      </c>
      <c r="C77" s="2" t="s">
        <v>415</v>
      </c>
      <c r="D77" s="7">
        <f t="shared" ref="D77:E77" si="78">+75000</f>
        <v>75000</v>
      </c>
      <c r="E77" s="7">
        <f t="shared" si="78"/>
        <v>75000</v>
      </c>
      <c r="F77" s="7">
        <f t="shared" ref="F77:G77" si="79">+100000</f>
        <v>100000</v>
      </c>
      <c r="G77" s="7">
        <f t="shared" si="79"/>
        <v>100000</v>
      </c>
      <c r="H77" s="7"/>
      <c r="I77" s="7"/>
      <c r="J77" s="7"/>
      <c r="K77" s="7"/>
      <c r="L77" s="7"/>
      <c r="M77" s="7"/>
      <c r="N77" s="7"/>
    </row>
    <row r="78">
      <c r="A78" s="1" t="s">
        <v>68</v>
      </c>
      <c r="B78" s="1" t="s">
        <v>342</v>
      </c>
      <c r="C78" s="2" t="s">
        <v>416</v>
      </c>
      <c r="D78" s="7">
        <f t="shared" ref="D78:E78" si="80">+150000</f>
        <v>150000</v>
      </c>
      <c r="E78" s="7">
        <f t="shared" si="80"/>
        <v>150000</v>
      </c>
      <c r="F78" s="7">
        <f t="shared" ref="F78:G78" si="81">+100000</f>
        <v>100000</v>
      </c>
      <c r="G78" s="7">
        <f t="shared" si="81"/>
        <v>100000</v>
      </c>
      <c r="H78" s="7"/>
      <c r="I78" s="7"/>
      <c r="J78" s="7"/>
      <c r="K78" s="7"/>
      <c r="L78" s="7"/>
      <c r="M78" s="7"/>
      <c r="N78" s="7"/>
    </row>
    <row r="79">
      <c r="A79" s="1" t="s">
        <v>68</v>
      </c>
      <c r="B79" s="1" t="s">
        <v>342</v>
      </c>
      <c r="C79" s="2" t="s">
        <v>417</v>
      </c>
      <c r="D79" s="7">
        <f t="shared" ref="D79:E79" si="82">+50000</f>
        <v>50000</v>
      </c>
      <c r="E79" s="7">
        <f t="shared" si="82"/>
        <v>50000</v>
      </c>
      <c r="F79" s="7">
        <f t="shared" ref="F79:F80" si="84">+100000</f>
        <v>100000</v>
      </c>
      <c r="G79" s="7">
        <f>+150000</f>
        <v>150000</v>
      </c>
      <c r="H79" s="7"/>
      <c r="I79" s="7"/>
      <c r="J79" s="7"/>
      <c r="K79" s="7"/>
      <c r="L79" s="7"/>
      <c r="M79" s="7"/>
      <c r="N79" s="7"/>
    </row>
    <row r="80">
      <c r="A80" s="1" t="s">
        <v>68</v>
      </c>
      <c r="B80" s="1" t="s">
        <v>342</v>
      </c>
      <c r="C80" s="2" t="s">
        <v>418</v>
      </c>
      <c r="D80" s="7">
        <f t="shared" ref="D80:E80" si="83">+150000</f>
        <v>150000</v>
      </c>
      <c r="E80" s="7">
        <f t="shared" si="83"/>
        <v>150000</v>
      </c>
      <c r="F80" s="7">
        <f t="shared" si="84"/>
        <v>100000</v>
      </c>
      <c r="G80" s="7">
        <f t="shared" ref="G80:G81" si="86">+200000</f>
        <v>200000</v>
      </c>
      <c r="H80" s="7"/>
      <c r="I80" s="7"/>
      <c r="J80" s="7"/>
      <c r="K80" s="7"/>
      <c r="L80" s="7"/>
      <c r="M80" s="7"/>
      <c r="N80" s="7"/>
    </row>
    <row r="81">
      <c r="A81" s="1" t="s">
        <v>68</v>
      </c>
      <c r="B81" s="1" t="s">
        <v>342</v>
      </c>
      <c r="C81" s="2" t="s">
        <v>419</v>
      </c>
      <c r="D81" s="7">
        <f t="shared" ref="D81:E81" si="85">+100000</f>
        <v>100000</v>
      </c>
      <c r="E81" s="7">
        <f t="shared" si="85"/>
        <v>100000</v>
      </c>
      <c r="F81" s="7">
        <f>+150000</f>
        <v>150000</v>
      </c>
      <c r="G81" s="7">
        <f t="shared" si="86"/>
        <v>200000</v>
      </c>
      <c r="H81" s="7"/>
      <c r="I81" s="7"/>
      <c r="J81" s="7"/>
      <c r="K81" s="7"/>
      <c r="L81" s="7"/>
      <c r="M81" s="7"/>
      <c r="N81" s="7"/>
    </row>
    <row r="82">
      <c r="A82" s="1" t="s">
        <v>68</v>
      </c>
      <c r="B82" s="1" t="s">
        <v>342</v>
      </c>
      <c r="C82" s="2" t="s">
        <v>420</v>
      </c>
      <c r="D82" s="7">
        <f t="shared" ref="D82:F82" si="87">+100000</f>
        <v>100000</v>
      </c>
      <c r="E82" s="7">
        <f t="shared" si="87"/>
        <v>100000</v>
      </c>
      <c r="F82" s="7">
        <f t="shared" si="87"/>
        <v>100000</v>
      </c>
      <c r="G82" s="7">
        <f t="shared" ref="G82:G84" si="89">+250000</f>
        <v>250000</v>
      </c>
      <c r="H82" s="7"/>
      <c r="I82" s="7"/>
      <c r="J82" s="7"/>
      <c r="K82" s="7"/>
      <c r="L82" s="7"/>
      <c r="M82" s="7"/>
      <c r="N82" s="7"/>
    </row>
    <row r="83">
      <c r="A83" s="1" t="s">
        <v>68</v>
      </c>
      <c r="B83" s="1" t="s">
        <v>342</v>
      </c>
      <c r="C83" s="2" t="s">
        <v>421</v>
      </c>
      <c r="D83" s="7">
        <f t="shared" ref="D83:F83" si="88">+200000</f>
        <v>200000</v>
      </c>
      <c r="E83" s="7">
        <f t="shared" si="88"/>
        <v>200000</v>
      </c>
      <c r="F83" s="7">
        <f t="shared" si="88"/>
        <v>200000</v>
      </c>
      <c r="G83" s="7">
        <f t="shared" si="89"/>
        <v>250000</v>
      </c>
      <c r="H83" s="7"/>
      <c r="I83" s="7"/>
      <c r="J83" s="7"/>
      <c r="K83" s="7"/>
      <c r="L83" s="7"/>
      <c r="M83" s="7"/>
      <c r="N83" s="7"/>
    </row>
    <row r="84">
      <c r="A84" s="1" t="s">
        <v>68</v>
      </c>
      <c r="B84" s="1" t="s">
        <v>342</v>
      </c>
      <c r="C84" s="2" t="s">
        <v>422</v>
      </c>
      <c r="D84" s="7">
        <f t="shared" ref="D84:F84" si="90">+200000</f>
        <v>200000</v>
      </c>
      <c r="E84" s="7">
        <f t="shared" si="90"/>
        <v>200000</v>
      </c>
      <c r="F84" s="7">
        <f t="shared" si="90"/>
        <v>200000</v>
      </c>
      <c r="G84" s="7">
        <f t="shared" si="89"/>
        <v>250000</v>
      </c>
      <c r="H84" s="7"/>
      <c r="I84" s="7"/>
      <c r="J84" s="7"/>
      <c r="K84" s="7"/>
      <c r="L84" s="7"/>
      <c r="M84" s="7"/>
      <c r="N84" s="7"/>
    </row>
    <row r="85">
      <c r="C85" s="3" t="s">
        <v>2</v>
      </c>
      <c r="D85" s="4">
        <v>45809.0</v>
      </c>
      <c r="E85" s="4">
        <v>45890.0</v>
      </c>
      <c r="F85" s="4">
        <v>45931.0</v>
      </c>
      <c r="G85" s="4">
        <v>45962.0</v>
      </c>
      <c r="H85" s="4">
        <v>45992.0</v>
      </c>
      <c r="I85" s="4">
        <v>45658.0</v>
      </c>
      <c r="J85" s="4">
        <v>45689.0</v>
      </c>
      <c r="K85" s="4">
        <v>45717.0</v>
      </c>
      <c r="L85" s="4">
        <v>45748.0</v>
      </c>
      <c r="M85" s="5">
        <v>45778.0</v>
      </c>
      <c r="N85" s="6"/>
    </row>
    <row r="86">
      <c r="A86" s="1" t="s">
        <v>89</v>
      </c>
      <c r="B86" s="1" t="s">
        <v>342</v>
      </c>
      <c r="C86" s="2" t="s">
        <v>423</v>
      </c>
      <c r="D86" s="7">
        <f>+900</f>
        <v>900</v>
      </c>
      <c r="E86" s="7">
        <f>+1200</f>
        <v>1200</v>
      </c>
      <c r="F86" s="7">
        <f>+500</f>
        <v>500</v>
      </c>
      <c r="G86" s="7">
        <f>+200</f>
        <v>200</v>
      </c>
      <c r="H86" s="7"/>
      <c r="I86" s="7"/>
      <c r="J86" s="7">
        <f>+1100</f>
        <v>1100</v>
      </c>
      <c r="K86" s="7">
        <f>+375</f>
        <v>375</v>
      </c>
      <c r="L86" s="7">
        <f>+130</f>
        <v>130</v>
      </c>
      <c r="M86" s="8">
        <v>-140.0</v>
      </c>
      <c r="N86" s="8" t="s">
        <v>27</v>
      </c>
    </row>
    <row r="87">
      <c r="A87" s="1" t="s">
        <v>89</v>
      </c>
      <c r="B87" s="1" t="s">
        <v>342</v>
      </c>
      <c r="C87" s="2" t="s">
        <v>424</v>
      </c>
      <c r="D87" s="7">
        <f>+170</f>
        <v>170</v>
      </c>
      <c r="E87" s="7">
        <f>+350</f>
        <v>350</v>
      </c>
      <c r="F87" s="7">
        <f>+225</f>
        <v>225</v>
      </c>
      <c r="G87" s="7">
        <f>+300</f>
        <v>300</v>
      </c>
      <c r="H87" s="7"/>
      <c r="I87" s="7"/>
      <c r="J87" s="8">
        <v>-400.0</v>
      </c>
      <c r="K87" s="8">
        <v>-125.0</v>
      </c>
      <c r="L87" s="7">
        <f>+225</f>
        <v>225</v>
      </c>
      <c r="M87" s="7">
        <f>+100</f>
        <v>100</v>
      </c>
      <c r="N87" s="7"/>
    </row>
    <row r="88">
      <c r="A88" s="1" t="s">
        <v>89</v>
      </c>
      <c r="B88" s="1" t="s">
        <v>342</v>
      </c>
      <c r="C88" s="2" t="s">
        <v>425</v>
      </c>
      <c r="D88" s="7">
        <f>+900</f>
        <v>900</v>
      </c>
      <c r="E88" s="7">
        <f>+1200</f>
        <v>1200</v>
      </c>
      <c r="F88" s="7">
        <f>+300</f>
        <v>300</v>
      </c>
      <c r="G88" s="7">
        <f>+170</f>
        <v>170</v>
      </c>
      <c r="H88" s="7"/>
      <c r="I88" s="7"/>
      <c r="J88" s="7">
        <f>+800</f>
        <v>800</v>
      </c>
      <c r="K88" s="7">
        <f>+250</f>
        <v>250</v>
      </c>
      <c r="L88" s="7">
        <f>+200</f>
        <v>200</v>
      </c>
      <c r="M88" s="7"/>
      <c r="N88" s="7"/>
    </row>
    <row r="89">
      <c r="A89" s="1" t="s">
        <v>89</v>
      </c>
      <c r="B89" s="1" t="s">
        <v>342</v>
      </c>
      <c r="C89" s="2" t="s">
        <v>426</v>
      </c>
      <c r="D89" s="7">
        <f>+125</f>
        <v>125</v>
      </c>
      <c r="E89" s="8">
        <v>-110.0</v>
      </c>
      <c r="F89" s="7">
        <f>+400</f>
        <v>400</v>
      </c>
      <c r="G89" s="7">
        <f>+1100</f>
        <v>1100</v>
      </c>
      <c r="H89" s="7"/>
      <c r="I89" s="7"/>
      <c r="J89" s="7">
        <f>+2200</f>
        <v>2200</v>
      </c>
      <c r="K89" s="7">
        <f>+900</f>
        <v>900</v>
      </c>
      <c r="L89" s="7">
        <f>+700</f>
        <v>700</v>
      </c>
      <c r="M89" s="7"/>
      <c r="N89" s="7"/>
    </row>
    <row r="90">
      <c r="A90" s="1" t="s">
        <v>89</v>
      </c>
      <c r="B90" s="1" t="s">
        <v>342</v>
      </c>
      <c r="C90" s="2" t="s">
        <v>427</v>
      </c>
      <c r="D90" s="7">
        <f>+700</f>
        <v>700</v>
      </c>
      <c r="E90" s="7">
        <f>+550</f>
        <v>550</v>
      </c>
      <c r="F90" s="7">
        <f>+700</f>
        <v>700</v>
      </c>
      <c r="G90" s="7">
        <f>+1600</f>
        <v>1600</v>
      </c>
      <c r="H90" s="7"/>
      <c r="I90" s="7"/>
      <c r="J90" s="7">
        <f>+1100</f>
        <v>1100</v>
      </c>
      <c r="K90" s="7">
        <f>+3300</f>
        <v>3300</v>
      </c>
      <c r="L90" s="7">
        <f>+10000</f>
        <v>10000</v>
      </c>
      <c r="M90" s="7"/>
      <c r="N90" s="7"/>
    </row>
    <row r="91">
      <c r="A91" s="1" t="s">
        <v>89</v>
      </c>
      <c r="B91" s="1" t="s">
        <v>342</v>
      </c>
      <c r="C91" s="2" t="s">
        <v>428</v>
      </c>
      <c r="D91" s="7">
        <f t="shared" ref="D91:E91" si="91">+1400</f>
        <v>1400</v>
      </c>
      <c r="E91" s="7">
        <f t="shared" si="91"/>
        <v>1400</v>
      </c>
      <c r="F91" s="7">
        <f>+1100</f>
        <v>1100</v>
      </c>
      <c r="G91" s="7">
        <f>+2000</f>
        <v>2000</v>
      </c>
      <c r="H91" s="7"/>
      <c r="I91" s="7"/>
      <c r="J91" s="7">
        <f t="shared" ref="J91:K91" si="92">+50000</f>
        <v>50000</v>
      </c>
      <c r="K91" s="7">
        <f t="shared" si="92"/>
        <v>50000</v>
      </c>
      <c r="L91" s="7"/>
      <c r="M91" s="7"/>
      <c r="N91" s="7"/>
    </row>
    <row r="92">
      <c r="A92" s="1" t="s">
        <v>89</v>
      </c>
      <c r="B92" s="1" t="s">
        <v>342</v>
      </c>
      <c r="C92" s="2" t="s">
        <v>429</v>
      </c>
      <c r="D92" s="7">
        <f>+5000</f>
        <v>5000</v>
      </c>
      <c r="E92" s="7">
        <f>+2800</f>
        <v>2800</v>
      </c>
      <c r="F92" s="7">
        <f>+2500</f>
        <v>2500</v>
      </c>
      <c r="G92" s="7">
        <f>+4000</f>
        <v>4000</v>
      </c>
      <c r="H92" s="7"/>
      <c r="I92" s="7"/>
      <c r="J92" s="7">
        <f t="shared" ref="J92:J93" si="93">+50000</f>
        <v>50000</v>
      </c>
      <c r="K92" s="7">
        <f t="shared" ref="K92:K94" si="94">+75000</f>
        <v>75000</v>
      </c>
      <c r="L92" s="7"/>
      <c r="M92" s="7"/>
      <c r="N92" s="7"/>
    </row>
    <row r="93">
      <c r="A93" s="1" t="s">
        <v>89</v>
      </c>
      <c r="B93" s="1" t="s">
        <v>342</v>
      </c>
      <c r="C93" s="2" t="s">
        <v>430</v>
      </c>
      <c r="D93" s="7">
        <f t="shared" ref="D93:D94" si="95">+50000</f>
        <v>50000</v>
      </c>
      <c r="E93" s="7">
        <f>+15000</f>
        <v>15000</v>
      </c>
      <c r="F93" s="7">
        <f>+6600</f>
        <v>6600</v>
      </c>
      <c r="G93" s="7">
        <f>+10000</f>
        <v>10000</v>
      </c>
      <c r="H93" s="7"/>
      <c r="I93" s="7"/>
      <c r="J93" s="7">
        <f t="shared" si="93"/>
        <v>50000</v>
      </c>
      <c r="K93" s="7">
        <f t="shared" si="94"/>
        <v>75000</v>
      </c>
      <c r="L93" s="7"/>
      <c r="M93" s="7"/>
      <c r="N93" s="7"/>
    </row>
    <row r="94">
      <c r="A94" s="1" t="s">
        <v>89</v>
      </c>
      <c r="B94" s="1" t="s">
        <v>342</v>
      </c>
      <c r="C94" s="2" t="s">
        <v>431</v>
      </c>
      <c r="D94" s="7">
        <f t="shared" si="95"/>
        <v>50000</v>
      </c>
      <c r="E94" s="7">
        <f t="shared" ref="E94:G94" si="96">+75000</f>
        <v>75000</v>
      </c>
      <c r="F94" s="7">
        <f t="shared" si="96"/>
        <v>75000</v>
      </c>
      <c r="G94" s="7">
        <f t="shared" si="96"/>
        <v>75000</v>
      </c>
      <c r="H94" s="7"/>
      <c r="I94" s="7"/>
      <c r="J94" s="7">
        <f>+100000</f>
        <v>100000</v>
      </c>
      <c r="K94" s="7">
        <f t="shared" si="94"/>
        <v>75000</v>
      </c>
      <c r="L94" s="7"/>
      <c r="M94" s="7"/>
      <c r="N94" s="7"/>
    </row>
    <row r="95">
      <c r="A95" s="1" t="s">
        <v>89</v>
      </c>
      <c r="B95" s="1" t="s">
        <v>342</v>
      </c>
      <c r="C95" s="2" t="s">
        <v>432</v>
      </c>
      <c r="D95" s="7">
        <f>+35000</f>
        <v>35000</v>
      </c>
      <c r="E95" s="7">
        <f>+25000</f>
        <v>25000</v>
      </c>
      <c r="F95" s="7">
        <f t="shared" ref="F95:G95" si="97">+50000</f>
        <v>50000</v>
      </c>
      <c r="G95" s="7">
        <f t="shared" si="97"/>
        <v>50000</v>
      </c>
      <c r="H95" s="7"/>
      <c r="I95" s="7"/>
      <c r="J95" s="7">
        <f>+150000</f>
        <v>150000</v>
      </c>
      <c r="K95" s="7">
        <f>+100000</f>
        <v>100000</v>
      </c>
      <c r="L95" s="7"/>
      <c r="M95" s="7"/>
      <c r="N95" s="7"/>
    </row>
    <row r="96">
      <c r="A96" s="1" t="s">
        <v>89</v>
      </c>
      <c r="B96" s="1" t="s">
        <v>342</v>
      </c>
      <c r="C96" s="2" t="s">
        <v>433</v>
      </c>
      <c r="D96" s="7">
        <f>+100000</f>
        <v>100000</v>
      </c>
      <c r="E96" s="7">
        <f>+50000</f>
        <v>50000</v>
      </c>
      <c r="F96" s="7">
        <f t="shared" ref="F96:G96" si="98">+75000</f>
        <v>75000</v>
      </c>
      <c r="G96" s="7">
        <f t="shared" si="98"/>
        <v>75000</v>
      </c>
      <c r="H96" s="7"/>
      <c r="I96" s="7"/>
      <c r="J96" s="7">
        <f>+100000</f>
        <v>100000</v>
      </c>
      <c r="K96" s="7">
        <f t="shared" ref="K96:K98" si="101">+200000</f>
        <v>200000</v>
      </c>
      <c r="L96" s="7"/>
      <c r="M96" s="7"/>
      <c r="N96" s="7"/>
    </row>
    <row r="97">
      <c r="A97" s="1" t="s">
        <v>89</v>
      </c>
      <c r="B97" s="1" t="s">
        <v>342</v>
      </c>
      <c r="C97" s="2" t="s">
        <v>434</v>
      </c>
      <c r="D97" s="7">
        <f t="shared" ref="D97:E97" si="99">+75000</f>
        <v>75000</v>
      </c>
      <c r="E97" s="7">
        <f t="shared" si="99"/>
        <v>75000</v>
      </c>
      <c r="F97" s="7">
        <f t="shared" ref="F97:G97" si="100">+100000</f>
        <v>100000</v>
      </c>
      <c r="G97" s="7">
        <f t="shared" si="100"/>
        <v>100000</v>
      </c>
      <c r="H97" s="7"/>
      <c r="I97" s="7"/>
      <c r="J97" s="7">
        <f t="shared" ref="J97:J98" si="103">+150000</f>
        <v>150000</v>
      </c>
      <c r="K97" s="7">
        <f t="shared" si="101"/>
        <v>200000</v>
      </c>
      <c r="L97" s="7"/>
      <c r="M97" s="7"/>
      <c r="N97" s="7"/>
    </row>
    <row r="98">
      <c r="A98" s="1" t="s">
        <v>89</v>
      </c>
      <c r="B98" s="1" t="s">
        <v>342</v>
      </c>
      <c r="C98" s="2" t="s">
        <v>435</v>
      </c>
      <c r="D98" s="7">
        <f>+200000</f>
        <v>200000</v>
      </c>
      <c r="E98" s="7">
        <f>+125000</f>
        <v>125000</v>
      </c>
      <c r="F98" s="7">
        <f t="shared" ref="F98:G98" si="102">+100000</f>
        <v>100000</v>
      </c>
      <c r="G98" s="7">
        <f t="shared" si="102"/>
        <v>100000</v>
      </c>
      <c r="H98" s="7"/>
      <c r="I98" s="7"/>
      <c r="J98" s="7">
        <f t="shared" si="103"/>
        <v>150000</v>
      </c>
      <c r="K98" s="7">
        <f t="shared" si="101"/>
        <v>200000</v>
      </c>
      <c r="L98" s="7"/>
      <c r="M98" s="7"/>
      <c r="N98" s="7"/>
    </row>
    <row r="99">
      <c r="A99" s="1" t="s">
        <v>89</v>
      </c>
      <c r="B99" s="1" t="s">
        <v>342</v>
      </c>
      <c r="C99" s="2" t="s">
        <v>436</v>
      </c>
      <c r="D99" s="7">
        <f>+50000</f>
        <v>50000</v>
      </c>
      <c r="E99" s="7">
        <f>+25000</f>
        <v>25000</v>
      </c>
      <c r="F99" s="7">
        <f>+50000</f>
        <v>50000</v>
      </c>
      <c r="G99" s="7">
        <f t="shared" ref="G99:G100" si="106">+150000</f>
        <v>150000</v>
      </c>
      <c r="H99" s="7"/>
      <c r="I99" s="7"/>
      <c r="J99" s="7">
        <f t="shared" ref="J99:K99" si="104">+200000</f>
        <v>200000</v>
      </c>
      <c r="K99" s="7">
        <f t="shared" si="104"/>
        <v>200000</v>
      </c>
      <c r="L99" s="7"/>
      <c r="M99" s="7"/>
      <c r="N99" s="7"/>
    </row>
    <row r="100">
      <c r="A100" s="1" t="s">
        <v>89</v>
      </c>
      <c r="B100" s="1" t="s">
        <v>342</v>
      </c>
      <c r="C100" s="2" t="s">
        <v>437</v>
      </c>
      <c r="D100" s="7">
        <f t="shared" ref="D100:F100" si="105">+100000</f>
        <v>100000</v>
      </c>
      <c r="E100" s="7">
        <f t="shared" si="105"/>
        <v>100000</v>
      </c>
      <c r="F100" s="7">
        <f t="shared" si="105"/>
        <v>100000</v>
      </c>
      <c r="G100" s="7">
        <f t="shared" si="106"/>
        <v>150000</v>
      </c>
      <c r="H100" s="7"/>
      <c r="I100" s="7"/>
      <c r="J100" s="7">
        <f t="shared" ref="J100:K100" si="107">+200000</f>
        <v>200000</v>
      </c>
      <c r="K100" s="7">
        <f t="shared" si="107"/>
        <v>200000</v>
      </c>
      <c r="L100" s="7"/>
      <c r="M100" s="7"/>
      <c r="N100" s="7"/>
    </row>
    <row r="101">
      <c r="A101" s="1" t="s">
        <v>89</v>
      </c>
      <c r="B101" s="1" t="s">
        <v>342</v>
      </c>
      <c r="C101" s="2" t="s">
        <v>438</v>
      </c>
      <c r="D101" s="7">
        <f t="shared" ref="D101:E101" si="108">+75000</f>
        <v>75000</v>
      </c>
      <c r="E101" s="7">
        <f t="shared" si="108"/>
        <v>75000</v>
      </c>
      <c r="F101" s="7">
        <f>+150000</f>
        <v>150000</v>
      </c>
      <c r="G101" s="7">
        <f t="shared" ref="G101:G102" si="109">+200000</f>
        <v>200000</v>
      </c>
      <c r="H101" s="7"/>
      <c r="I101" s="7"/>
      <c r="J101" s="7">
        <f t="shared" ref="J101:J105" si="110">+250000</f>
        <v>250000</v>
      </c>
      <c r="K101" s="7">
        <f>+200000</f>
        <v>200000</v>
      </c>
      <c r="L101" s="7"/>
      <c r="M101" s="7"/>
      <c r="N101" s="7"/>
    </row>
    <row r="102">
      <c r="A102" s="1" t="s">
        <v>89</v>
      </c>
      <c r="B102" s="1" t="s">
        <v>342</v>
      </c>
      <c r="C102" s="2" t="s">
        <v>439</v>
      </c>
      <c r="D102" s="7">
        <f>+100000</f>
        <v>100000</v>
      </c>
      <c r="E102" s="7">
        <f>+75000</f>
        <v>75000</v>
      </c>
      <c r="F102" s="7">
        <f>+100000</f>
        <v>100000</v>
      </c>
      <c r="G102" s="7">
        <f t="shared" si="109"/>
        <v>200000</v>
      </c>
      <c r="H102" s="7"/>
      <c r="I102" s="7"/>
      <c r="J102" s="7">
        <f t="shared" si="110"/>
        <v>250000</v>
      </c>
      <c r="K102" s="7">
        <f t="shared" ref="K102:K105" si="112">+250000</f>
        <v>250000</v>
      </c>
      <c r="L102" s="7"/>
      <c r="M102" s="7"/>
      <c r="N102" s="7"/>
    </row>
    <row r="103">
      <c r="A103" s="1" t="s">
        <v>89</v>
      </c>
      <c r="B103" s="1" t="s">
        <v>342</v>
      </c>
      <c r="C103" s="2" t="s">
        <v>440</v>
      </c>
      <c r="D103" s="7">
        <f t="shared" ref="D103:E103" si="111">+150000</f>
        <v>150000</v>
      </c>
      <c r="E103" s="7">
        <f t="shared" si="111"/>
        <v>150000</v>
      </c>
      <c r="F103" s="7">
        <f>+200000</f>
        <v>200000</v>
      </c>
      <c r="G103" s="7">
        <f t="shared" ref="G103:G104" si="114">+250000</f>
        <v>250000</v>
      </c>
      <c r="H103" s="7"/>
      <c r="I103" s="7"/>
      <c r="J103" s="7">
        <f t="shared" si="110"/>
        <v>250000</v>
      </c>
      <c r="K103" s="7">
        <f t="shared" si="112"/>
        <v>250000</v>
      </c>
      <c r="L103" s="7"/>
      <c r="M103" s="7"/>
      <c r="N103" s="7"/>
    </row>
    <row r="104">
      <c r="A104" s="1" t="s">
        <v>89</v>
      </c>
      <c r="B104" s="1" t="s">
        <v>342</v>
      </c>
      <c r="C104" s="2" t="s">
        <v>441</v>
      </c>
      <c r="D104" s="7">
        <f t="shared" ref="D104:F104" si="113">+200000</f>
        <v>200000</v>
      </c>
      <c r="E104" s="7">
        <f t="shared" si="113"/>
        <v>200000</v>
      </c>
      <c r="F104" s="7">
        <f t="shared" si="113"/>
        <v>200000</v>
      </c>
      <c r="G104" s="7">
        <f t="shared" si="114"/>
        <v>250000</v>
      </c>
      <c r="H104" s="7"/>
      <c r="I104" s="7"/>
      <c r="J104" s="7">
        <f t="shared" si="110"/>
        <v>250000</v>
      </c>
      <c r="K104" s="7">
        <f t="shared" si="112"/>
        <v>250000</v>
      </c>
      <c r="L104" s="7"/>
      <c r="M104" s="7"/>
      <c r="N104" s="7"/>
    </row>
    <row r="105">
      <c r="A105" s="1" t="s">
        <v>89</v>
      </c>
      <c r="B105" s="1" t="s">
        <v>342</v>
      </c>
      <c r="C105" s="2" t="s">
        <v>442</v>
      </c>
      <c r="D105" s="7">
        <f>+200000</f>
        <v>200000</v>
      </c>
      <c r="E105" s="7">
        <f>+150000</f>
        <v>150000</v>
      </c>
      <c r="F105" s="7">
        <f t="shared" ref="F105:G105" si="115">+250000</f>
        <v>250000</v>
      </c>
      <c r="G105" s="7">
        <f t="shared" si="115"/>
        <v>250000</v>
      </c>
      <c r="H105" s="7"/>
      <c r="I105" s="7"/>
      <c r="J105" s="7">
        <f t="shared" si="110"/>
        <v>250000</v>
      </c>
      <c r="K105" s="7">
        <f t="shared" si="112"/>
        <v>250000</v>
      </c>
      <c r="L105" s="7"/>
      <c r="M105" s="7"/>
      <c r="N105" s="7"/>
    </row>
    <row r="106">
      <c r="C106" s="3" t="s">
        <v>2</v>
      </c>
      <c r="D106" s="4">
        <v>45918.0</v>
      </c>
      <c r="E106" s="4">
        <v>45931.0</v>
      </c>
      <c r="F106" s="4">
        <v>45962.0</v>
      </c>
      <c r="G106" s="4">
        <v>45992.0</v>
      </c>
      <c r="H106" s="4">
        <v>45658.0</v>
      </c>
      <c r="I106" s="4">
        <v>45689.0</v>
      </c>
      <c r="J106" s="4">
        <v>45717.0</v>
      </c>
      <c r="K106" s="4">
        <v>45748.0</v>
      </c>
      <c r="L106" s="5">
        <v>45778.0</v>
      </c>
      <c r="M106" s="6"/>
    </row>
    <row r="107">
      <c r="A107" s="1" t="s">
        <v>110</v>
      </c>
      <c r="B107" s="1" t="s">
        <v>342</v>
      </c>
      <c r="C107" s="2" t="s">
        <v>443</v>
      </c>
      <c r="D107" s="7">
        <f>+200</f>
        <v>200</v>
      </c>
      <c r="E107" s="7">
        <f t="shared" ref="E107:F107" si="116">+175</f>
        <v>175</v>
      </c>
      <c r="F107" s="7">
        <f t="shared" si="116"/>
        <v>175</v>
      </c>
      <c r="G107" s="7"/>
      <c r="H107" s="7">
        <f>+130</f>
        <v>130</v>
      </c>
      <c r="I107" s="7">
        <f>+150</f>
        <v>150</v>
      </c>
      <c r="J107" s="8">
        <v>-400.0</v>
      </c>
      <c r="K107" s="8">
        <v>-1200.0</v>
      </c>
      <c r="L107" s="7"/>
      <c r="M107" s="8" t="s">
        <v>27</v>
      </c>
    </row>
    <row r="108">
      <c r="A108" s="1" t="s">
        <v>110</v>
      </c>
      <c r="B108" s="1" t="s">
        <v>342</v>
      </c>
      <c r="C108" s="2" t="s">
        <v>444</v>
      </c>
      <c r="D108" s="7">
        <f>+125</f>
        <v>125</v>
      </c>
      <c r="E108" s="7">
        <f>+150</f>
        <v>150</v>
      </c>
      <c r="F108" s="7">
        <f>+225</f>
        <v>225</v>
      </c>
      <c r="G108" s="7"/>
      <c r="H108" s="7">
        <f>+350</f>
        <v>350</v>
      </c>
      <c r="I108" s="7">
        <f>+225</f>
        <v>225</v>
      </c>
      <c r="J108" s="7">
        <f>+650</f>
        <v>650</v>
      </c>
      <c r="K108" s="7">
        <f>+1100</f>
        <v>1100</v>
      </c>
      <c r="L108" s="7"/>
      <c r="M108" s="7"/>
    </row>
    <row r="109">
      <c r="A109" s="1" t="s">
        <v>110</v>
      </c>
      <c r="B109" s="1" t="s">
        <v>342</v>
      </c>
      <c r="C109" s="2" t="s">
        <v>445</v>
      </c>
      <c r="D109" s="7">
        <f>+2000</f>
        <v>2000</v>
      </c>
      <c r="E109" s="7">
        <f>+1400</f>
        <v>1400</v>
      </c>
      <c r="F109" s="7">
        <f>+600</f>
        <v>600</v>
      </c>
      <c r="G109" s="7"/>
      <c r="H109" s="7">
        <f>+300</f>
        <v>300</v>
      </c>
      <c r="I109" s="7">
        <f>+350</f>
        <v>350</v>
      </c>
      <c r="J109" s="7">
        <f>+700</f>
        <v>700</v>
      </c>
      <c r="K109" s="7">
        <f>+1400</f>
        <v>1400</v>
      </c>
      <c r="L109" s="7"/>
      <c r="M109" s="7"/>
    </row>
    <row r="110">
      <c r="A110" s="1" t="s">
        <v>110</v>
      </c>
      <c r="B110" s="1" t="s">
        <v>342</v>
      </c>
      <c r="C110" s="2" t="s">
        <v>446</v>
      </c>
      <c r="D110" s="7">
        <f t="shared" ref="D110:D111" si="117">+1100</f>
        <v>1100</v>
      </c>
      <c r="E110" s="7">
        <f>+450</f>
        <v>450</v>
      </c>
      <c r="F110" s="7">
        <f>+700</f>
        <v>700</v>
      </c>
      <c r="G110" s="7"/>
      <c r="H110" s="7">
        <f>+1600</f>
        <v>1600</v>
      </c>
      <c r="I110" s="7">
        <f>+1200</f>
        <v>1200</v>
      </c>
      <c r="J110" s="7">
        <f>+2000</f>
        <v>2000</v>
      </c>
      <c r="K110" s="7">
        <f>+2800</f>
        <v>2800</v>
      </c>
      <c r="L110" s="7"/>
      <c r="M110" s="7"/>
    </row>
    <row r="111">
      <c r="A111" s="1" t="s">
        <v>110</v>
      </c>
      <c r="B111" s="1" t="s">
        <v>342</v>
      </c>
      <c r="C111" s="2" t="s">
        <v>447</v>
      </c>
      <c r="D111" s="7">
        <f t="shared" si="117"/>
        <v>1100</v>
      </c>
      <c r="E111" s="7">
        <f>+900</f>
        <v>900</v>
      </c>
      <c r="F111" s="7">
        <f>+450</f>
        <v>450</v>
      </c>
      <c r="G111" s="7"/>
      <c r="H111" s="7">
        <f>+1000</f>
        <v>1000</v>
      </c>
      <c r="I111" s="7">
        <f>+1400</f>
        <v>1400</v>
      </c>
      <c r="J111" s="7">
        <f t="shared" ref="J111:J112" si="119">+5000</f>
        <v>5000</v>
      </c>
      <c r="K111" s="7">
        <f>+4000</f>
        <v>4000</v>
      </c>
      <c r="L111" s="7"/>
      <c r="M111" s="7"/>
    </row>
    <row r="112">
      <c r="A112" s="1" t="s">
        <v>110</v>
      </c>
      <c r="B112" s="1" t="s">
        <v>342</v>
      </c>
      <c r="C112" s="2" t="s">
        <v>448</v>
      </c>
      <c r="D112" s="7">
        <f>+4000</f>
        <v>4000</v>
      </c>
      <c r="E112" s="7">
        <f t="shared" ref="E112:F112" si="118">+5000</f>
        <v>5000</v>
      </c>
      <c r="F112" s="7">
        <f t="shared" si="118"/>
        <v>5000</v>
      </c>
      <c r="G112" s="7"/>
      <c r="H112" s="7">
        <f>+2000</f>
        <v>2000</v>
      </c>
      <c r="I112" s="7">
        <f>+2800</f>
        <v>2800</v>
      </c>
      <c r="J112" s="7">
        <f t="shared" si="119"/>
        <v>5000</v>
      </c>
      <c r="K112" s="7">
        <f>+25000</f>
        <v>25000</v>
      </c>
      <c r="L112" s="7"/>
      <c r="M112" s="7"/>
    </row>
    <row r="113">
      <c r="A113" s="1" t="s">
        <v>110</v>
      </c>
      <c r="B113" s="1" t="s">
        <v>342</v>
      </c>
      <c r="C113" s="2" t="s">
        <v>449</v>
      </c>
      <c r="D113" s="7">
        <f>+2000</f>
        <v>2000</v>
      </c>
      <c r="E113" s="7">
        <f>+3300</f>
        <v>3300</v>
      </c>
      <c r="F113" s="7">
        <f>+5000</f>
        <v>5000</v>
      </c>
      <c r="G113" s="7"/>
      <c r="H113" s="7">
        <f>+6600</f>
        <v>6600</v>
      </c>
      <c r="I113" s="7">
        <f>+10000</f>
        <v>10000</v>
      </c>
      <c r="J113" s="7">
        <f>+6600</f>
        <v>6600</v>
      </c>
      <c r="K113" s="7">
        <f>+50000</f>
        <v>50000</v>
      </c>
      <c r="L113" s="7"/>
      <c r="M113" s="7"/>
    </row>
    <row r="114">
      <c r="A114" s="1" t="s">
        <v>110</v>
      </c>
      <c r="B114" s="1" t="s">
        <v>342</v>
      </c>
      <c r="C114" s="2" t="s">
        <v>450</v>
      </c>
      <c r="D114" s="7">
        <f t="shared" ref="D114:E114" si="120">+50000</f>
        <v>50000</v>
      </c>
      <c r="E114" s="7">
        <f t="shared" si="120"/>
        <v>50000</v>
      </c>
      <c r="F114" s="7">
        <f>+10000</f>
        <v>10000</v>
      </c>
      <c r="G114" s="7"/>
      <c r="H114" s="7">
        <f>+20000</f>
        <v>20000</v>
      </c>
      <c r="I114" s="7">
        <f>+50000</f>
        <v>50000</v>
      </c>
      <c r="J114" s="7">
        <f>+75000</f>
        <v>75000</v>
      </c>
      <c r="K114" s="7"/>
      <c r="L114" s="7"/>
      <c r="M114" s="7"/>
    </row>
    <row r="115">
      <c r="A115" s="1" t="s">
        <v>110</v>
      </c>
      <c r="B115" s="1" t="s">
        <v>342</v>
      </c>
      <c r="C115" s="2" t="s">
        <v>451</v>
      </c>
      <c r="D115" s="7">
        <f t="shared" ref="D115:E115" si="121">+50000</f>
        <v>50000</v>
      </c>
      <c r="E115" s="7">
        <f t="shared" si="121"/>
        <v>50000</v>
      </c>
      <c r="F115" s="7">
        <f>+100000</f>
        <v>100000</v>
      </c>
      <c r="G115" s="7"/>
      <c r="H115" s="7">
        <f>+100000</f>
        <v>100000</v>
      </c>
      <c r="I115" s="7">
        <f>+75000</f>
        <v>75000</v>
      </c>
      <c r="J115" s="7">
        <f t="shared" ref="J115:J117" si="123">+100000</f>
        <v>100000</v>
      </c>
      <c r="K115" s="7"/>
      <c r="L115" s="7"/>
      <c r="M115" s="7"/>
    </row>
    <row r="116">
      <c r="A116" s="1" t="s">
        <v>110</v>
      </c>
      <c r="B116" s="1" t="s">
        <v>342</v>
      </c>
      <c r="C116" s="2" t="s">
        <v>452</v>
      </c>
      <c r="D116" s="7">
        <f t="shared" ref="D116:D117" si="124">+75000</f>
        <v>75000</v>
      </c>
      <c r="E116" s="7">
        <f>+50000</f>
        <v>50000</v>
      </c>
      <c r="F116" s="7">
        <f>+150000</f>
        <v>150000</v>
      </c>
      <c r="G116" s="7"/>
      <c r="H116" s="7">
        <f t="shared" ref="H116:I116" si="122">+150000</f>
        <v>150000</v>
      </c>
      <c r="I116" s="7">
        <f t="shared" si="122"/>
        <v>150000</v>
      </c>
      <c r="J116" s="7">
        <f t="shared" si="123"/>
        <v>100000</v>
      </c>
      <c r="K116" s="7"/>
      <c r="L116" s="7"/>
      <c r="M116" s="7"/>
    </row>
    <row r="117">
      <c r="A117" s="1" t="s">
        <v>110</v>
      </c>
      <c r="B117" s="1" t="s">
        <v>342</v>
      </c>
      <c r="C117" s="2" t="s">
        <v>453</v>
      </c>
      <c r="D117" s="7">
        <f t="shared" si="124"/>
        <v>75000</v>
      </c>
      <c r="E117" s="7">
        <f>+150000</f>
        <v>150000</v>
      </c>
      <c r="F117" s="7">
        <f>+100000</f>
        <v>100000</v>
      </c>
      <c r="G117" s="7"/>
      <c r="H117" s="7">
        <f>+150000</f>
        <v>150000</v>
      </c>
      <c r="I117" s="7">
        <f>+200000</f>
        <v>200000</v>
      </c>
      <c r="J117" s="7">
        <f t="shared" si="123"/>
        <v>100000</v>
      </c>
      <c r="K117" s="7"/>
      <c r="L117" s="7"/>
      <c r="M117" s="7"/>
    </row>
    <row r="118">
      <c r="A118" s="1" t="s">
        <v>110</v>
      </c>
      <c r="B118" s="1" t="s">
        <v>342</v>
      </c>
      <c r="C118" s="2" t="s">
        <v>454</v>
      </c>
      <c r="D118" s="7">
        <f t="shared" ref="D118:F118" si="125">+25000</f>
        <v>25000</v>
      </c>
      <c r="E118" s="7">
        <f t="shared" si="125"/>
        <v>25000</v>
      </c>
      <c r="F118" s="7">
        <f t="shared" si="125"/>
        <v>25000</v>
      </c>
      <c r="G118" s="7"/>
      <c r="H118" s="7">
        <f t="shared" ref="H118:H119" si="126">+75000</f>
        <v>75000</v>
      </c>
      <c r="I118" s="7">
        <f t="shared" ref="I118:I119" si="127">+100000</f>
        <v>100000</v>
      </c>
      <c r="J118" s="7">
        <f t="shared" ref="J118:J120" si="128">+150000</f>
        <v>150000</v>
      </c>
      <c r="K118" s="7"/>
      <c r="L118" s="7"/>
      <c r="M118" s="7"/>
    </row>
    <row r="119">
      <c r="A119" s="1" t="s">
        <v>110</v>
      </c>
      <c r="B119" s="1" t="s">
        <v>342</v>
      </c>
      <c r="C119" s="2" t="s">
        <v>455</v>
      </c>
      <c r="D119" s="7">
        <f>+75000</f>
        <v>75000</v>
      </c>
      <c r="E119" s="7">
        <f>+150000</f>
        <v>150000</v>
      </c>
      <c r="F119" s="7">
        <f>+50000</f>
        <v>50000</v>
      </c>
      <c r="G119" s="7"/>
      <c r="H119" s="7">
        <f t="shared" si="126"/>
        <v>75000</v>
      </c>
      <c r="I119" s="7">
        <f t="shared" si="127"/>
        <v>100000</v>
      </c>
      <c r="J119" s="7">
        <f t="shared" si="128"/>
        <v>150000</v>
      </c>
      <c r="K119" s="7"/>
      <c r="L119" s="7"/>
      <c r="M119" s="7"/>
    </row>
    <row r="120">
      <c r="A120" s="1" t="s">
        <v>110</v>
      </c>
      <c r="B120" s="1" t="s">
        <v>342</v>
      </c>
      <c r="C120" s="2" t="s">
        <v>456</v>
      </c>
      <c r="D120" s="7">
        <f>+50000</f>
        <v>50000</v>
      </c>
      <c r="E120" s="7">
        <f t="shared" ref="E120:E121" si="130">+100000</f>
        <v>100000</v>
      </c>
      <c r="F120" s="7">
        <f t="shared" ref="F120:F122" si="131">+150000</f>
        <v>150000</v>
      </c>
      <c r="G120" s="7"/>
      <c r="H120" s="7">
        <f t="shared" ref="H120:I120" si="129">+250000</f>
        <v>250000</v>
      </c>
      <c r="I120" s="7">
        <f t="shared" si="129"/>
        <v>250000</v>
      </c>
      <c r="J120" s="7">
        <f t="shared" si="128"/>
        <v>150000</v>
      </c>
      <c r="K120" s="7"/>
      <c r="L120" s="7"/>
      <c r="M120" s="7"/>
    </row>
    <row r="121">
      <c r="A121" s="1" t="s">
        <v>110</v>
      </c>
      <c r="B121" s="1" t="s">
        <v>342</v>
      </c>
      <c r="C121" s="2" t="s">
        <v>457</v>
      </c>
      <c r="D121" s="7">
        <f>+75000</f>
        <v>75000</v>
      </c>
      <c r="E121" s="7">
        <f t="shared" si="130"/>
        <v>100000</v>
      </c>
      <c r="F121" s="7">
        <f t="shared" si="131"/>
        <v>150000</v>
      </c>
      <c r="G121" s="7"/>
      <c r="H121" s="7">
        <f t="shared" ref="H121:H122" si="133">+250000</f>
        <v>250000</v>
      </c>
      <c r="I121" s="7">
        <f>+150000</f>
        <v>150000</v>
      </c>
      <c r="J121" s="7">
        <f t="shared" ref="J121:J122" si="134">+200000</f>
        <v>200000</v>
      </c>
      <c r="K121" s="7"/>
      <c r="L121" s="7"/>
      <c r="M121" s="7"/>
    </row>
    <row r="122">
      <c r="A122" s="1" t="s">
        <v>110</v>
      </c>
      <c r="B122" s="1" t="s">
        <v>342</v>
      </c>
      <c r="C122" s="2" t="s">
        <v>458</v>
      </c>
      <c r="D122" s="7">
        <f t="shared" ref="D122:E122" si="132">+100000</f>
        <v>100000</v>
      </c>
      <c r="E122" s="7">
        <f t="shared" si="132"/>
        <v>100000</v>
      </c>
      <c r="F122" s="7">
        <f t="shared" si="131"/>
        <v>150000</v>
      </c>
      <c r="G122" s="7"/>
      <c r="H122" s="7">
        <f t="shared" si="133"/>
        <v>250000</v>
      </c>
      <c r="I122" s="7">
        <f>+250000</f>
        <v>250000</v>
      </c>
      <c r="J122" s="7">
        <f t="shared" si="134"/>
        <v>200000</v>
      </c>
      <c r="K122" s="7"/>
      <c r="L122" s="7"/>
      <c r="M122" s="7"/>
    </row>
    <row r="123">
      <c r="A123" s="1" t="s">
        <v>110</v>
      </c>
      <c r="B123" s="1" t="s">
        <v>342</v>
      </c>
      <c r="C123" s="2" t="s">
        <v>459</v>
      </c>
      <c r="D123" s="7">
        <f>+75000</f>
        <v>75000</v>
      </c>
      <c r="E123" s="7">
        <f>+100000</f>
        <v>100000</v>
      </c>
      <c r="F123" s="7">
        <f>+50000</f>
        <v>50000</v>
      </c>
      <c r="G123" s="7"/>
      <c r="H123" s="7">
        <f t="shared" ref="H123:I123" si="135">+150000</f>
        <v>150000</v>
      </c>
      <c r="I123" s="7">
        <f t="shared" si="135"/>
        <v>150000</v>
      </c>
      <c r="J123" s="7">
        <f t="shared" ref="J123:J124" si="138">+250000</f>
        <v>250000</v>
      </c>
      <c r="K123" s="7"/>
      <c r="L123" s="7"/>
      <c r="M123" s="7"/>
    </row>
    <row r="124">
      <c r="A124" s="1" t="s">
        <v>110</v>
      </c>
      <c r="B124" s="1" t="s">
        <v>342</v>
      </c>
      <c r="C124" s="2" t="s">
        <v>460</v>
      </c>
      <c r="D124" s="7">
        <f t="shared" ref="D124:E124" si="136">+100000</f>
        <v>100000</v>
      </c>
      <c r="E124" s="7">
        <f t="shared" si="136"/>
        <v>100000</v>
      </c>
      <c r="F124" s="7">
        <f t="shared" ref="F124:F125" si="139">+150000</f>
        <v>150000</v>
      </c>
      <c r="G124" s="7"/>
      <c r="H124" s="7">
        <f t="shared" ref="H124:I124" si="137">+200000</f>
        <v>200000</v>
      </c>
      <c r="I124" s="7">
        <f t="shared" si="137"/>
        <v>200000</v>
      </c>
      <c r="J124" s="7">
        <f t="shared" si="138"/>
        <v>250000</v>
      </c>
      <c r="K124" s="7"/>
      <c r="L124" s="7"/>
      <c r="M124" s="7"/>
    </row>
    <row r="125">
      <c r="A125" s="1" t="s">
        <v>110</v>
      </c>
      <c r="B125" s="1" t="s">
        <v>342</v>
      </c>
      <c r="C125" s="2" t="s">
        <v>461</v>
      </c>
      <c r="D125" s="7">
        <f>+75000</f>
        <v>75000</v>
      </c>
      <c r="E125" s="7">
        <f>+100000</f>
        <v>100000</v>
      </c>
      <c r="F125" s="7">
        <f t="shared" si="139"/>
        <v>150000</v>
      </c>
      <c r="G125" s="7"/>
      <c r="H125" s="7">
        <f>+200000</f>
        <v>200000</v>
      </c>
      <c r="I125" s="7">
        <f t="shared" ref="I125:J125" si="140">+250000</f>
        <v>250000</v>
      </c>
      <c r="J125" s="7">
        <f t="shared" si="140"/>
        <v>250000</v>
      </c>
      <c r="K125" s="7"/>
      <c r="L125" s="7"/>
      <c r="M125" s="7"/>
    </row>
    <row r="126">
      <c r="A126" s="1" t="s">
        <v>110</v>
      </c>
      <c r="B126" s="1" t="s">
        <v>342</v>
      </c>
      <c r="C126" s="2" t="s">
        <v>462</v>
      </c>
      <c r="D126" s="7">
        <f>+100000</f>
        <v>100000</v>
      </c>
      <c r="E126" s="7">
        <f>+150000</f>
        <v>150000</v>
      </c>
      <c r="F126" s="7">
        <f>+250000</f>
        <v>250000</v>
      </c>
      <c r="G126" s="7"/>
      <c r="H126" s="7">
        <f t="shared" ref="H126:J126" si="141">+250000</f>
        <v>250000</v>
      </c>
      <c r="I126" s="7">
        <f t="shared" si="141"/>
        <v>250000</v>
      </c>
      <c r="J126" s="7">
        <f t="shared" si="141"/>
        <v>250000</v>
      </c>
      <c r="K126" s="7"/>
      <c r="L126" s="7"/>
      <c r="M126" s="7"/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L1"/>
    <hyperlink r:id="rId10" ref="C2"/>
    <hyperlink r:id="rId11" ref="C3"/>
    <hyperlink r:id="rId12" ref="C4"/>
    <hyperlink r:id="rId13" ref="C5"/>
    <hyperlink r:id="rId14" ref="C6"/>
    <hyperlink r:id="rId15" ref="C7"/>
    <hyperlink r:id="rId16" ref="C8"/>
    <hyperlink r:id="rId17" ref="C9"/>
    <hyperlink r:id="rId18" ref="C10"/>
    <hyperlink r:id="rId19" ref="C11"/>
    <hyperlink r:id="rId20" ref="C12"/>
    <hyperlink r:id="rId21" ref="C13"/>
    <hyperlink r:id="rId22" ref="C14"/>
    <hyperlink r:id="rId23" ref="C15"/>
    <hyperlink r:id="rId24" ref="C16"/>
    <hyperlink r:id="rId25" ref="C17"/>
    <hyperlink r:id="rId26" ref="C18"/>
    <hyperlink r:id="rId27" ref="C19"/>
    <hyperlink r:id="rId28" ref="C20"/>
    <hyperlink r:id="rId29" ref="C21"/>
    <hyperlink r:id="rId30" ref="D22"/>
    <hyperlink r:id="rId31" ref="E22"/>
    <hyperlink r:id="rId32" ref="F22"/>
    <hyperlink r:id="rId33" ref="G22"/>
    <hyperlink r:id="rId34" ref="H22"/>
    <hyperlink r:id="rId35" ref="I22"/>
    <hyperlink r:id="rId36" ref="J22"/>
    <hyperlink r:id="rId37" ref="K22"/>
    <hyperlink r:id="rId38" ref="L22"/>
    <hyperlink r:id="rId39" ref="M22"/>
    <hyperlink r:id="rId40" ref="C23"/>
    <hyperlink r:id="rId41" ref="C24"/>
    <hyperlink r:id="rId42" ref="C25"/>
    <hyperlink r:id="rId43" ref="C26"/>
    <hyperlink r:id="rId44" ref="C27"/>
    <hyperlink r:id="rId45" ref="C28"/>
    <hyperlink r:id="rId46" ref="C29"/>
    <hyperlink r:id="rId47" ref="C30"/>
    <hyperlink r:id="rId48" ref="C31"/>
    <hyperlink r:id="rId49" ref="C32"/>
    <hyperlink r:id="rId50" ref="C33"/>
    <hyperlink r:id="rId51" ref="C34"/>
    <hyperlink r:id="rId52" ref="C35"/>
    <hyperlink r:id="rId53" ref="C36"/>
    <hyperlink r:id="rId54" ref="C37"/>
    <hyperlink r:id="rId55" ref="C38"/>
    <hyperlink r:id="rId56" ref="C39"/>
    <hyperlink r:id="rId57" ref="C40"/>
    <hyperlink r:id="rId58" ref="C41"/>
    <hyperlink r:id="rId59" ref="C42"/>
    <hyperlink r:id="rId60" ref="D43"/>
    <hyperlink r:id="rId61" ref="E43"/>
    <hyperlink r:id="rId62" ref="F43"/>
    <hyperlink r:id="rId63" ref="G43"/>
    <hyperlink r:id="rId64" ref="H43"/>
    <hyperlink r:id="rId65" ref="I43"/>
    <hyperlink r:id="rId66" ref="J43"/>
    <hyperlink r:id="rId67" ref="K43"/>
    <hyperlink r:id="rId68" ref="L43"/>
    <hyperlink r:id="rId69" ref="M43"/>
    <hyperlink r:id="rId70" ref="C44"/>
    <hyperlink r:id="rId71" ref="C45"/>
    <hyperlink r:id="rId72" ref="C46"/>
    <hyperlink r:id="rId73" ref="C47"/>
    <hyperlink r:id="rId74" ref="C48"/>
    <hyperlink r:id="rId75" ref="C49"/>
    <hyperlink r:id="rId76" ref="C50"/>
    <hyperlink r:id="rId77" ref="C51"/>
    <hyperlink r:id="rId78" ref="C52"/>
    <hyperlink r:id="rId79" ref="C53"/>
    <hyperlink r:id="rId80" ref="C54"/>
    <hyperlink r:id="rId81" ref="C55"/>
    <hyperlink r:id="rId82" ref="C56"/>
    <hyperlink r:id="rId83" ref="C57"/>
    <hyperlink r:id="rId84" ref="C58"/>
    <hyperlink r:id="rId85" ref="C59"/>
    <hyperlink r:id="rId86" ref="C60"/>
    <hyperlink r:id="rId87" ref="C61"/>
    <hyperlink r:id="rId88" ref="C62"/>
    <hyperlink r:id="rId89" ref="C63"/>
    <hyperlink r:id="rId90" ref="D64"/>
    <hyperlink r:id="rId91" ref="E64"/>
    <hyperlink r:id="rId92" ref="F64"/>
    <hyperlink r:id="rId93" ref="G64"/>
    <hyperlink r:id="rId94" ref="H64"/>
    <hyperlink r:id="rId95" ref="I64"/>
    <hyperlink r:id="rId96" ref="J64"/>
    <hyperlink r:id="rId97" ref="K64"/>
    <hyperlink r:id="rId98" ref="L64"/>
    <hyperlink r:id="rId99" ref="M64"/>
    <hyperlink r:id="rId100" ref="C65"/>
    <hyperlink r:id="rId101" ref="C66"/>
    <hyperlink r:id="rId102" ref="C67"/>
    <hyperlink r:id="rId103" ref="C68"/>
    <hyperlink r:id="rId104" ref="C69"/>
    <hyperlink r:id="rId105" ref="C70"/>
    <hyperlink r:id="rId106" ref="C71"/>
    <hyperlink r:id="rId107" ref="C72"/>
    <hyperlink r:id="rId108" ref="C73"/>
    <hyperlink r:id="rId109" ref="C74"/>
    <hyperlink r:id="rId110" ref="C75"/>
    <hyperlink r:id="rId111" ref="C76"/>
    <hyperlink r:id="rId112" ref="C77"/>
    <hyperlink r:id="rId113" ref="C78"/>
    <hyperlink r:id="rId114" ref="C79"/>
    <hyperlink r:id="rId115" ref="C80"/>
    <hyperlink r:id="rId116" ref="C81"/>
    <hyperlink r:id="rId117" ref="C82"/>
    <hyperlink r:id="rId118" ref="C83"/>
    <hyperlink r:id="rId119" ref="C84"/>
    <hyperlink r:id="rId120" ref="D85"/>
    <hyperlink r:id="rId121" ref="E85"/>
    <hyperlink r:id="rId122" ref="F85"/>
    <hyperlink r:id="rId123" ref="G85"/>
    <hyperlink r:id="rId124" ref="H85"/>
    <hyperlink r:id="rId125" ref="I85"/>
    <hyperlink r:id="rId126" ref="J85"/>
    <hyperlink r:id="rId127" ref="K85"/>
    <hyperlink r:id="rId128" ref="L85"/>
    <hyperlink r:id="rId129" ref="M85"/>
    <hyperlink r:id="rId130" ref="C86"/>
    <hyperlink r:id="rId131" ref="C87"/>
    <hyperlink r:id="rId132" ref="C88"/>
    <hyperlink r:id="rId133" ref="C89"/>
    <hyperlink r:id="rId134" ref="C90"/>
    <hyperlink r:id="rId135" ref="C91"/>
    <hyperlink r:id="rId136" ref="C92"/>
    <hyperlink r:id="rId137" ref="C93"/>
    <hyperlink r:id="rId138" ref="C94"/>
    <hyperlink r:id="rId139" ref="C95"/>
    <hyperlink r:id="rId140" ref="C96"/>
    <hyperlink r:id="rId141" ref="C97"/>
    <hyperlink r:id="rId142" ref="C98"/>
    <hyperlink r:id="rId143" ref="C99"/>
    <hyperlink r:id="rId144" ref="C100"/>
    <hyperlink r:id="rId145" ref="C101"/>
    <hyperlink r:id="rId146" ref="C102"/>
    <hyperlink r:id="rId147" ref="C103"/>
    <hyperlink r:id="rId148" ref="C104"/>
    <hyperlink r:id="rId149" ref="C105"/>
    <hyperlink r:id="rId150" ref="D106"/>
    <hyperlink r:id="rId151" ref="E106"/>
    <hyperlink r:id="rId152" ref="F106"/>
    <hyperlink r:id="rId153" ref="G106"/>
    <hyperlink r:id="rId154" ref="H106"/>
    <hyperlink r:id="rId155" ref="I106"/>
    <hyperlink r:id="rId156" ref="J106"/>
    <hyperlink r:id="rId157" ref="K106"/>
    <hyperlink r:id="rId158" ref="L106"/>
    <hyperlink r:id="rId159" ref="C107"/>
    <hyperlink r:id="rId160" ref="C108"/>
    <hyperlink r:id="rId161" ref="C109"/>
    <hyperlink r:id="rId162" ref="C110"/>
    <hyperlink r:id="rId163" ref="C111"/>
    <hyperlink r:id="rId164" ref="C112"/>
    <hyperlink r:id="rId165" ref="C113"/>
    <hyperlink r:id="rId166" ref="C114"/>
    <hyperlink r:id="rId167" ref="C115"/>
    <hyperlink r:id="rId168" ref="C116"/>
    <hyperlink r:id="rId169" ref="C117"/>
    <hyperlink r:id="rId170" ref="C118"/>
    <hyperlink r:id="rId171" ref="C119"/>
    <hyperlink r:id="rId172" ref="C120"/>
    <hyperlink r:id="rId173" ref="C121"/>
    <hyperlink r:id="rId174" ref="C122"/>
    <hyperlink r:id="rId175" ref="C123"/>
    <hyperlink r:id="rId176" ref="C124"/>
    <hyperlink r:id="rId177" ref="C125"/>
    <hyperlink r:id="rId178" ref="C126"/>
  </hyperlinks>
  <drawing r:id="rId17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5"/>
    <col customWidth="1" min="3" max="3" width="13.63"/>
    <col customWidth="1" min="4" max="10" width="6.5"/>
    <col customWidth="1" min="11" max="11" width="5.63"/>
    <col customWidth="1" min="12" max="12" width="6.13"/>
    <col customWidth="1" min="13" max="14" width="11.25"/>
  </cols>
  <sheetData>
    <row r="1">
      <c r="C1" s="3" t="s">
        <v>2</v>
      </c>
      <c r="D1" s="5">
        <v>45796.0</v>
      </c>
      <c r="E1" s="4">
        <v>45931.0</v>
      </c>
      <c r="F1" s="4">
        <v>45962.0</v>
      </c>
      <c r="G1" s="4">
        <v>45992.0</v>
      </c>
      <c r="H1" s="4">
        <v>45658.0</v>
      </c>
      <c r="I1" s="4">
        <v>45689.0</v>
      </c>
      <c r="J1" s="4">
        <v>45717.0</v>
      </c>
      <c r="K1" s="4">
        <v>45748.0</v>
      </c>
      <c r="L1" s="5">
        <v>45778.0</v>
      </c>
      <c r="M1" s="6"/>
    </row>
    <row r="2">
      <c r="A2" s="1" t="s">
        <v>3</v>
      </c>
      <c r="B2" s="1" t="s">
        <v>463</v>
      </c>
      <c r="C2" s="2" t="s">
        <v>464</v>
      </c>
      <c r="D2" s="8">
        <v>-125.0</v>
      </c>
      <c r="E2" s="7">
        <f>+125</f>
        <v>125</v>
      </c>
      <c r="F2" s="8">
        <v>-225.0</v>
      </c>
      <c r="G2" s="7"/>
      <c r="H2" s="7"/>
      <c r="I2" s="7"/>
      <c r="J2" s="7"/>
      <c r="K2" s="7"/>
      <c r="L2" s="7"/>
      <c r="M2" s="7"/>
    </row>
    <row r="3">
      <c r="A3" s="1" t="s">
        <v>3</v>
      </c>
      <c r="B3" s="1" t="s">
        <v>463</v>
      </c>
      <c r="C3" s="2" t="s">
        <v>465</v>
      </c>
      <c r="D3" s="7">
        <f>+100</f>
        <v>100</v>
      </c>
      <c r="E3" s="8">
        <v>-145.0</v>
      </c>
      <c r="F3" s="7">
        <f>+175</f>
        <v>175</v>
      </c>
      <c r="G3" s="7"/>
      <c r="H3" s="7"/>
      <c r="I3" s="7"/>
      <c r="J3" s="7"/>
      <c r="K3" s="7"/>
      <c r="L3" s="7"/>
      <c r="M3" s="7"/>
    </row>
    <row r="4">
      <c r="A4" s="1" t="s">
        <v>3</v>
      </c>
      <c r="B4" s="1" t="s">
        <v>463</v>
      </c>
      <c r="C4" s="2" t="s">
        <v>466</v>
      </c>
      <c r="D4" s="7">
        <f>+800</f>
        <v>800</v>
      </c>
      <c r="E4" s="7">
        <f t="shared" ref="E4:F4" si="1">+3300</f>
        <v>3300</v>
      </c>
      <c r="F4" s="7">
        <f t="shared" si="1"/>
        <v>3300</v>
      </c>
      <c r="G4" s="7"/>
      <c r="H4" s="7"/>
      <c r="I4" s="7"/>
      <c r="J4" s="7"/>
      <c r="K4" s="7"/>
      <c r="L4" s="7"/>
      <c r="M4" s="7"/>
    </row>
    <row r="5">
      <c r="A5" s="1" t="s">
        <v>3</v>
      </c>
      <c r="B5" s="1" t="s">
        <v>463</v>
      </c>
      <c r="C5" s="2" t="s">
        <v>467</v>
      </c>
      <c r="D5" s="7">
        <f>+6600</f>
        <v>6600</v>
      </c>
      <c r="E5" s="7">
        <f>+5000</f>
        <v>5000</v>
      </c>
      <c r="F5" s="7">
        <f>+10000</f>
        <v>10000</v>
      </c>
      <c r="G5" s="7"/>
      <c r="H5" s="7"/>
      <c r="I5" s="7"/>
      <c r="J5" s="7"/>
      <c r="K5" s="7"/>
      <c r="L5" s="7"/>
      <c r="M5" s="7"/>
    </row>
    <row r="6">
      <c r="A6" s="1" t="s">
        <v>3</v>
      </c>
      <c r="B6" s="1" t="s">
        <v>463</v>
      </c>
      <c r="C6" s="2" t="s">
        <v>468</v>
      </c>
      <c r="D6" s="7">
        <f>+8000</f>
        <v>8000</v>
      </c>
      <c r="E6" s="7">
        <f>+10000</f>
        <v>10000</v>
      </c>
      <c r="F6" s="7">
        <f>+20000</f>
        <v>20000</v>
      </c>
      <c r="G6" s="7"/>
      <c r="H6" s="7"/>
      <c r="I6" s="7"/>
      <c r="J6" s="7"/>
      <c r="K6" s="7"/>
      <c r="L6" s="7"/>
      <c r="M6" s="7"/>
    </row>
    <row r="7">
      <c r="A7" s="1" t="s">
        <v>3</v>
      </c>
      <c r="B7" s="1" t="s">
        <v>463</v>
      </c>
      <c r="C7" s="2" t="s">
        <v>469</v>
      </c>
      <c r="D7" s="7">
        <f>+6600</f>
        <v>6600</v>
      </c>
      <c r="E7" s="7">
        <f>+15000</f>
        <v>15000</v>
      </c>
      <c r="F7" s="7">
        <f>+25000</f>
        <v>25000</v>
      </c>
      <c r="G7" s="7"/>
      <c r="H7" s="7"/>
      <c r="I7" s="7"/>
      <c r="J7" s="7"/>
      <c r="K7" s="7"/>
      <c r="L7" s="7"/>
      <c r="M7" s="7"/>
    </row>
    <row r="8">
      <c r="A8" s="1" t="s">
        <v>3</v>
      </c>
      <c r="B8" s="1" t="s">
        <v>463</v>
      </c>
      <c r="C8" s="2" t="s">
        <v>470</v>
      </c>
      <c r="D8" s="7">
        <f t="shared" ref="D8:F8" si="2">+25000</f>
        <v>25000</v>
      </c>
      <c r="E8" s="7">
        <f t="shared" si="2"/>
        <v>25000</v>
      </c>
      <c r="F8" s="7">
        <f t="shared" si="2"/>
        <v>25000</v>
      </c>
      <c r="G8" s="7"/>
      <c r="H8" s="7"/>
      <c r="I8" s="7"/>
      <c r="J8" s="7"/>
      <c r="K8" s="7"/>
      <c r="L8" s="7"/>
      <c r="M8" s="7"/>
    </row>
    <row r="9">
      <c r="A9" s="1" t="s">
        <v>3</v>
      </c>
      <c r="B9" s="1" t="s">
        <v>463</v>
      </c>
      <c r="C9" s="2" t="s">
        <v>471</v>
      </c>
      <c r="D9" s="7">
        <f>+25000</f>
        <v>25000</v>
      </c>
      <c r="E9" s="7">
        <f>+40000</f>
        <v>40000</v>
      </c>
      <c r="F9" s="7">
        <f>+25000</f>
        <v>25000</v>
      </c>
      <c r="G9" s="7"/>
      <c r="H9" s="7"/>
      <c r="I9" s="7"/>
      <c r="J9" s="7"/>
      <c r="K9" s="7"/>
      <c r="L9" s="7"/>
      <c r="M9" s="7"/>
    </row>
    <row r="10">
      <c r="A10" s="1" t="s">
        <v>3</v>
      </c>
      <c r="B10" s="1" t="s">
        <v>463</v>
      </c>
      <c r="C10" s="2" t="s">
        <v>472</v>
      </c>
      <c r="D10" s="7">
        <f>+10000</f>
        <v>10000</v>
      </c>
      <c r="E10" s="7">
        <f t="shared" ref="E10:E11" si="3">+25000</f>
        <v>25000</v>
      </c>
      <c r="F10" s="7">
        <f t="shared" ref="F10:F13" si="4">+50000</f>
        <v>50000</v>
      </c>
      <c r="G10" s="7"/>
      <c r="H10" s="7"/>
      <c r="I10" s="7"/>
      <c r="J10" s="7"/>
      <c r="K10" s="7"/>
      <c r="L10" s="7"/>
      <c r="M10" s="7"/>
    </row>
    <row r="11">
      <c r="A11" s="1" t="s">
        <v>3</v>
      </c>
      <c r="B11" s="1" t="s">
        <v>463</v>
      </c>
      <c r="C11" s="2" t="s">
        <v>473</v>
      </c>
      <c r="D11" s="7">
        <f>+20000</f>
        <v>20000</v>
      </c>
      <c r="E11" s="7">
        <f t="shared" si="3"/>
        <v>25000</v>
      </c>
      <c r="F11" s="7">
        <f t="shared" si="4"/>
        <v>50000</v>
      </c>
      <c r="G11" s="7"/>
      <c r="H11" s="7"/>
      <c r="I11" s="7"/>
      <c r="J11" s="7"/>
      <c r="K11" s="7"/>
      <c r="L11" s="7"/>
      <c r="M11" s="7"/>
    </row>
    <row r="12">
      <c r="A12" s="1" t="s">
        <v>3</v>
      </c>
      <c r="B12" s="1" t="s">
        <v>463</v>
      </c>
      <c r="C12" s="2" t="s">
        <v>474</v>
      </c>
      <c r="D12" s="7">
        <f t="shared" ref="D12:E12" si="5">+25000</f>
        <v>25000</v>
      </c>
      <c r="E12" s="7">
        <f t="shared" si="5"/>
        <v>25000</v>
      </c>
      <c r="F12" s="7">
        <f t="shared" si="4"/>
        <v>50000</v>
      </c>
      <c r="G12" s="7"/>
      <c r="H12" s="7"/>
      <c r="I12" s="7"/>
      <c r="J12" s="7"/>
      <c r="K12" s="7"/>
      <c r="L12" s="7"/>
      <c r="M12" s="7"/>
    </row>
    <row r="13">
      <c r="A13" s="1" t="s">
        <v>3</v>
      </c>
      <c r="B13" s="1" t="s">
        <v>463</v>
      </c>
      <c r="C13" s="2" t="s">
        <v>475</v>
      </c>
      <c r="D13" s="7"/>
      <c r="E13" s="7">
        <f>+25000</f>
        <v>25000</v>
      </c>
      <c r="F13" s="7">
        <f t="shared" si="4"/>
        <v>50000</v>
      </c>
      <c r="G13" s="7"/>
      <c r="H13" s="7"/>
      <c r="I13" s="7"/>
      <c r="J13" s="7"/>
      <c r="K13" s="7"/>
      <c r="L13" s="7"/>
      <c r="M13" s="7"/>
    </row>
    <row r="14">
      <c r="A14" s="1" t="s">
        <v>3</v>
      </c>
      <c r="B14" s="1" t="s">
        <v>463</v>
      </c>
      <c r="C14" s="2" t="s">
        <v>476</v>
      </c>
      <c r="D14" s="7">
        <f>+15000</f>
        <v>15000</v>
      </c>
      <c r="E14" s="7">
        <f t="shared" ref="E14:F14" si="6">+50000</f>
        <v>50000</v>
      </c>
      <c r="F14" s="7">
        <f t="shared" si="6"/>
        <v>50000</v>
      </c>
      <c r="G14" s="7"/>
      <c r="H14" s="7"/>
      <c r="I14" s="7"/>
      <c r="J14" s="7"/>
      <c r="K14" s="7"/>
      <c r="L14" s="7"/>
      <c r="M14" s="7"/>
    </row>
    <row r="15">
      <c r="A15" s="1" t="s">
        <v>3</v>
      </c>
      <c r="B15" s="1" t="s">
        <v>463</v>
      </c>
      <c r="C15" s="2" t="s">
        <v>477</v>
      </c>
      <c r="D15" s="7">
        <f t="shared" ref="D15:D16" si="8">+25000</f>
        <v>25000</v>
      </c>
      <c r="E15" s="7">
        <f t="shared" ref="E15:F15" si="7">+50000</f>
        <v>50000</v>
      </c>
      <c r="F15" s="7">
        <f t="shared" si="7"/>
        <v>50000</v>
      </c>
      <c r="G15" s="7"/>
      <c r="H15" s="7"/>
      <c r="I15" s="7"/>
      <c r="J15" s="7"/>
      <c r="K15" s="7"/>
      <c r="L15" s="7"/>
      <c r="M15" s="7"/>
    </row>
    <row r="16">
      <c r="A16" s="1" t="s">
        <v>3</v>
      </c>
      <c r="B16" s="1" t="s">
        <v>463</v>
      </c>
      <c r="C16" s="2" t="s">
        <v>478</v>
      </c>
      <c r="D16" s="7">
        <f t="shared" si="8"/>
        <v>25000</v>
      </c>
      <c r="E16" s="7">
        <f t="shared" ref="E16:F16" si="9">+50000</f>
        <v>50000</v>
      </c>
      <c r="F16" s="7">
        <f t="shared" si="9"/>
        <v>50000</v>
      </c>
      <c r="G16" s="7"/>
      <c r="H16" s="7"/>
      <c r="I16" s="7"/>
      <c r="J16" s="7"/>
      <c r="K16" s="7"/>
      <c r="L16" s="7"/>
      <c r="M16" s="7"/>
    </row>
    <row r="17">
      <c r="A17" s="1" t="s">
        <v>3</v>
      </c>
      <c r="B17" s="1" t="s">
        <v>463</v>
      </c>
      <c r="C17" s="2" t="s">
        <v>479</v>
      </c>
      <c r="D17" s="7">
        <f t="shared" ref="D17:F17" si="10">+50000</f>
        <v>50000</v>
      </c>
      <c r="E17" s="7">
        <f t="shared" si="10"/>
        <v>50000</v>
      </c>
      <c r="F17" s="7">
        <f t="shared" si="10"/>
        <v>50000</v>
      </c>
      <c r="G17" s="7"/>
      <c r="H17" s="7"/>
      <c r="I17" s="7"/>
      <c r="J17" s="7"/>
      <c r="K17" s="7"/>
      <c r="L17" s="7"/>
      <c r="M17" s="7"/>
    </row>
    <row r="18">
      <c r="A18" s="1" t="s">
        <v>3</v>
      </c>
      <c r="B18" s="1" t="s">
        <v>463</v>
      </c>
      <c r="C18" s="2" t="s">
        <v>480</v>
      </c>
      <c r="D18" s="7">
        <f t="shared" ref="D18:F18" si="11">+50000</f>
        <v>50000</v>
      </c>
      <c r="E18" s="7">
        <f t="shared" si="11"/>
        <v>50000</v>
      </c>
      <c r="F18" s="7">
        <f t="shared" si="11"/>
        <v>50000</v>
      </c>
      <c r="G18" s="7"/>
      <c r="H18" s="7"/>
      <c r="I18" s="7"/>
      <c r="J18" s="7"/>
      <c r="K18" s="7"/>
      <c r="L18" s="7"/>
      <c r="M18" s="7"/>
    </row>
    <row r="19">
      <c r="A19" s="1" t="s">
        <v>3</v>
      </c>
      <c r="B19" s="1" t="s">
        <v>463</v>
      </c>
      <c r="C19" s="2" t="s">
        <v>481</v>
      </c>
      <c r="D19" s="7"/>
      <c r="E19" s="7">
        <f t="shared" ref="E19:E21" si="12">+100000</f>
        <v>100000</v>
      </c>
      <c r="F19" s="7">
        <f>+50000</f>
        <v>50000</v>
      </c>
      <c r="G19" s="7"/>
      <c r="H19" s="7"/>
      <c r="I19" s="7"/>
      <c r="J19" s="7"/>
      <c r="K19" s="7"/>
      <c r="L19" s="7"/>
      <c r="M19" s="7"/>
    </row>
    <row r="20">
      <c r="A20" s="1" t="s">
        <v>3</v>
      </c>
      <c r="B20" s="1" t="s">
        <v>463</v>
      </c>
      <c r="C20" s="2" t="s">
        <v>482</v>
      </c>
      <c r="D20" s="7"/>
      <c r="E20" s="7">
        <f t="shared" si="12"/>
        <v>100000</v>
      </c>
      <c r="F20" s="7">
        <f t="shared" ref="F20:F21" si="13">+100000</f>
        <v>100000</v>
      </c>
      <c r="G20" s="7"/>
      <c r="H20" s="7"/>
      <c r="I20" s="7"/>
      <c r="J20" s="7"/>
      <c r="K20" s="7"/>
      <c r="L20" s="7"/>
      <c r="M20" s="7"/>
    </row>
    <row r="21">
      <c r="A21" s="1" t="s">
        <v>3</v>
      </c>
      <c r="B21" s="1" t="s">
        <v>463</v>
      </c>
      <c r="C21" s="2" t="s">
        <v>483</v>
      </c>
      <c r="D21" s="7"/>
      <c r="E21" s="7">
        <f t="shared" si="12"/>
        <v>100000</v>
      </c>
      <c r="F21" s="7">
        <f t="shared" si="13"/>
        <v>100000</v>
      </c>
      <c r="G21" s="7"/>
      <c r="H21" s="7"/>
    </row>
    <row r="22">
      <c r="C22" s="3" t="s">
        <v>2</v>
      </c>
      <c r="D22" s="5">
        <v>45800.0</v>
      </c>
      <c r="E22" s="4">
        <v>45884.0</v>
      </c>
      <c r="F22" s="4">
        <v>45931.0</v>
      </c>
      <c r="G22" s="4">
        <v>45962.0</v>
      </c>
      <c r="H22" s="4">
        <v>45992.0</v>
      </c>
      <c r="I22" s="4">
        <v>45658.0</v>
      </c>
      <c r="J22" s="4">
        <v>45689.0</v>
      </c>
      <c r="K22" s="4">
        <v>45717.0</v>
      </c>
      <c r="L22" s="4">
        <v>45748.0</v>
      </c>
      <c r="M22" s="5">
        <v>45778.0</v>
      </c>
      <c r="N22" s="6"/>
    </row>
    <row r="23">
      <c r="A23" s="1" t="s">
        <v>25</v>
      </c>
      <c r="B23" s="1" t="s">
        <v>463</v>
      </c>
      <c r="C23" s="2" t="s">
        <v>484</v>
      </c>
      <c r="D23" s="7">
        <f>+325</f>
        <v>325</v>
      </c>
      <c r="E23" s="7">
        <f>+350</f>
        <v>350</v>
      </c>
      <c r="F23" s="7">
        <f>+138</f>
        <v>138</v>
      </c>
      <c r="G23" s="8">
        <v>-140.0</v>
      </c>
      <c r="H23" s="8">
        <v>-110.0</v>
      </c>
      <c r="I23" s="7">
        <f>+225</f>
        <v>225</v>
      </c>
      <c r="J23" s="7">
        <f>+400</f>
        <v>400</v>
      </c>
      <c r="K23" s="7">
        <f t="shared" ref="K23:K24" si="14">+120</f>
        <v>120</v>
      </c>
      <c r="L23" s="8">
        <v>-275.0</v>
      </c>
      <c r="M23" s="8">
        <v>-700.0</v>
      </c>
      <c r="N23" s="8" t="s">
        <v>27</v>
      </c>
    </row>
    <row r="24">
      <c r="A24" s="1" t="s">
        <v>25</v>
      </c>
      <c r="B24" s="1" t="s">
        <v>463</v>
      </c>
      <c r="C24" s="2" t="s">
        <v>485</v>
      </c>
      <c r="D24" s="8">
        <v>-200.0</v>
      </c>
      <c r="E24" s="8">
        <v>-275.0</v>
      </c>
      <c r="F24" s="8">
        <v>-150.0</v>
      </c>
      <c r="G24" s="7">
        <f>+110</f>
        <v>110</v>
      </c>
      <c r="H24" s="8">
        <v>-110.0</v>
      </c>
      <c r="I24" s="8">
        <v>-120.0</v>
      </c>
      <c r="J24" s="8">
        <v>-250.0</v>
      </c>
      <c r="K24" s="7">
        <f t="shared" si="14"/>
        <v>120</v>
      </c>
      <c r="L24" s="7">
        <f>+225</f>
        <v>225</v>
      </c>
      <c r="M24" s="7">
        <f>+400</f>
        <v>400</v>
      </c>
      <c r="N24" s="7"/>
    </row>
    <row r="25">
      <c r="A25" s="1" t="s">
        <v>25</v>
      </c>
      <c r="B25" s="1" t="s">
        <v>463</v>
      </c>
      <c r="C25" s="2" t="s">
        <v>486</v>
      </c>
      <c r="D25" s="7">
        <f>+900</f>
        <v>900</v>
      </c>
      <c r="E25" s="7">
        <f>+1000</f>
        <v>1000</v>
      </c>
      <c r="F25" s="7">
        <f t="shared" ref="F25:G25" si="15">+1800</f>
        <v>1800</v>
      </c>
      <c r="G25" s="7">
        <f t="shared" si="15"/>
        <v>1800</v>
      </c>
      <c r="H25" s="7">
        <f>+1100</f>
        <v>1100</v>
      </c>
      <c r="I25" s="7">
        <f>+275</f>
        <v>275</v>
      </c>
      <c r="J25" s="7">
        <f>+550</f>
        <v>550</v>
      </c>
      <c r="K25" s="7">
        <f>+400</f>
        <v>400</v>
      </c>
      <c r="L25" s="7">
        <f>+3300</f>
        <v>3300</v>
      </c>
      <c r="M25" s="7">
        <f>+8000</f>
        <v>8000</v>
      </c>
      <c r="N25" s="7"/>
    </row>
    <row r="26">
      <c r="A26" s="1" t="s">
        <v>25</v>
      </c>
      <c r="B26" s="1" t="s">
        <v>463</v>
      </c>
      <c r="C26" s="2" t="s">
        <v>487</v>
      </c>
      <c r="D26" s="7">
        <f t="shared" ref="D26:E26" si="16">+2800</f>
        <v>2800</v>
      </c>
      <c r="E26" s="7">
        <f t="shared" si="16"/>
        <v>2800</v>
      </c>
      <c r="F26" s="7">
        <f>+6600</f>
        <v>6600</v>
      </c>
      <c r="G26" s="7">
        <f>+10000</f>
        <v>10000</v>
      </c>
      <c r="H26" s="7">
        <f t="shared" ref="H26:H27" si="18">+15000</f>
        <v>15000</v>
      </c>
      <c r="I26" s="7">
        <f t="shared" ref="I26:K26" si="17">+10000</f>
        <v>10000</v>
      </c>
      <c r="J26" s="7">
        <f t="shared" si="17"/>
        <v>10000</v>
      </c>
      <c r="K26" s="7">
        <f t="shared" si="17"/>
        <v>10000</v>
      </c>
      <c r="L26" s="7">
        <f>+25000</f>
        <v>25000</v>
      </c>
      <c r="M26" s="7"/>
      <c r="N26" s="7"/>
    </row>
    <row r="27">
      <c r="A27" s="1" t="s">
        <v>25</v>
      </c>
      <c r="B27" s="1" t="s">
        <v>463</v>
      </c>
      <c r="C27" s="2" t="s">
        <v>488</v>
      </c>
      <c r="D27" s="7">
        <f>+5000</f>
        <v>5000</v>
      </c>
      <c r="E27" s="7">
        <f>+6600</f>
        <v>6600</v>
      </c>
      <c r="F27" s="7">
        <f>+10000</f>
        <v>10000</v>
      </c>
      <c r="G27" s="7">
        <f>+12500</f>
        <v>12500</v>
      </c>
      <c r="H27" s="7">
        <f t="shared" si="18"/>
        <v>15000</v>
      </c>
      <c r="I27" s="7">
        <f>+25000</f>
        <v>25000</v>
      </c>
      <c r="J27" s="7">
        <f>+50000</f>
        <v>50000</v>
      </c>
      <c r="K27" s="7"/>
      <c r="L27" s="7"/>
      <c r="M27" s="7"/>
      <c r="N27" s="7"/>
    </row>
    <row r="28">
      <c r="A28" s="1" t="s">
        <v>25</v>
      </c>
      <c r="B28" s="1" t="s">
        <v>463</v>
      </c>
      <c r="C28" s="2" t="s">
        <v>489</v>
      </c>
      <c r="D28" s="7">
        <f>+2200</f>
        <v>2200</v>
      </c>
      <c r="E28" s="7">
        <f>+2500</f>
        <v>2500</v>
      </c>
      <c r="F28" s="7">
        <f>+15000</f>
        <v>15000</v>
      </c>
      <c r="G28" s="7">
        <f>+20000</f>
        <v>20000</v>
      </c>
      <c r="H28" s="7">
        <f t="shared" ref="H28:H29" si="21">+25000</f>
        <v>25000</v>
      </c>
      <c r="I28" s="7">
        <f t="shared" ref="I28:J28" si="19">+50000</f>
        <v>50000</v>
      </c>
      <c r="J28" s="7">
        <f t="shared" si="19"/>
        <v>50000</v>
      </c>
      <c r="K28" s="7"/>
      <c r="L28" s="7"/>
      <c r="M28" s="7"/>
      <c r="N28" s="7"/>
    </row>
    <row r="29">
      <c r="A29" s="1" t="s">
        <v>25</v>
      </c>
      <c r="B29" s="1" t="s">
        <v>463</v>
      </c>
      <c r="C29" s="2" t="s">
        <v>490</v>
      </c>
      <c r="D29" s="7">
        <f t="shared" ref="D29:D30" si="23">+4000</f>
        <v>4000</v>
      </c>
      <c r="E29" s="7">
        <f>+6600</f>
        <v>6600</v>
      </c>
      <c r="F29" s="7">
        <f t="shared" ref="F29:G29" si="20">+20000</f>
        <v>20000</v>
      </c>
      <c r="G29" s="7">
        <f t="shared" si="20"/>
        <v>20000</v>
      </c>
      <c r="H29" s="7">
        <f t="shared" si="21"/>
        <v>25000</v>
      </c>
      <c r="I29" s="7">
        <f t="shared" ref="I29:J29" si="22">+50000</f>
        <v>50000</v>
      </c>
      <c r="J29" s="7">
        <f t="shared" si="22"/>
        <v>50000</v>
      </c>
      <c r="K29" s="7"/>
      <c r="L29" s="7"/>
      <c r="M29" s="7"/>
      <c r="N29" s="7"/>
    </row>
    <row r="30">
      <c r="A30" s="1" t="s">
        <v>25</v>
      </c>
      <c r="B30" s="1" t="s">
        <v>463</v>
      </c>
      <c r="C30" s="2" t="s">
        <v>491</v>
      </c>
      <c r="D30" s="7">
        <f t="shared" si="23"/>
        <v>4000</v>
      </c>
      <c r="E30" s="7">
        <f>+3300</f>
        <v>3300</v>
      </c>
      <c r="F30" s="7">
        <f t="shared" ref="F30:F31" si="27">+25000</f>
        <v>25000</v>
      </c>
      <c r="G30" s="7">
        <f t="shared" ref="G30:H30" si="24">+30000</f>
        <v>30000</v>
      </c>
      <c r="H30" s="7">
        <f t="shared" si="24"/>
        <v>30000</v>
      </c>
      <c r="I30" s="7">
        <f t="shared" ref="I30:J30" si="25">+100000</f>
        <v>100000</v>
      </c>
      <c r="J30" s="7">
        <f t="shared" si="25"/>
        <v>100000</v>
      </c>
      <c r="K30" s="7"/>
      <c r="L30" s="7"/>
      <c r="M30" s="7"/>
      <c r="N30" s="7"/>
    </row>
    <row r="31">
      <c r="A31" s="1" t="s">
        <v>25</v>
      </c>
      <c r="B31" s="1" t="s">
        <v>463</v>
      </c>
      <c r="C31" s="2" t="s">
        <v>492</v>
      </c>
      <c r="D31" s="7">
        <f t="shared" ref="D31:E31" si="26">+10000</f>
        <v>10000</v>
      </c>
      <c r="E31" s="7">
        <f t="shared" si="26"/>
        <v>10000</v>
      </c>
      <c r="F31" s="7">
        <f t="shared" si="27"/>
        <v>25000</v>
      </c>
      <c r="G31" s="7">
        <f t="shared" ref="G31:H31" si="28">+50000</f>
        <v>50000</v>
      </c>
      <c r="H31" s="7">
        <f t="shared" si="28"/>
        <v>50000</v>
      </c>
      <c r="I31" s="7">
        <f t="shared" ref="I31:J31" si="29">+100000</f>
        <v>100000</v>
      </c>
      <c r="J31" s="7">
        <f t="shared" si="29"/>
        <v>100000</v>
      </c>
      <c r="K31" s="7"/>
      <c r="L31" s="7"/>
      <c r="M31" s="7"/>
      <c r="N31" s="7"/>
    </row>
    <row r="32">
      <c r="A32" s="1" t="s">
        <v>25</v>
      </c>
      <c r="B32" s="1" t="s">
        <v>463</v>
      </c>
      <c r="C32" s="2" t="s">
        <v>493</v>
      </c>
      <c r="D32" s="7">
        <f t="shared" ref="D32:H32" si="30">+50000</f>
        <v>50000</v>
      </c>
      <c r="E32" s="7">
        <f t="shared" si="30"/>
        <v>50000</v>
      </c>
      <c r="F32" s="7">
        <f t="shared" si="30"/>
        <v>50000</v>
      </c>
      <c r="G32" s="7">
        <f t="shared" si="30"/>
        <v>50000</v>
      </c>
      <c r="H32" s="7">
        <f t="shared" si="30"/>
        <v>50000</v>
      </c>
      <c r="I32" s="7">
        <f t="shared" ref="I32:J32" si="31">+100000</f>
        <v>100000</v>
      </c>
      <c r="J32" s="7">
        <f t="shared" si="31"/>
        <v>100000</v>
      </c>
      <c r="K32" s="7"/>
      <c r="L32" s="7"/>
      <c r="M32" s="7"/>
      <c r="N32" s="7"/>
    </row>
    <row r="33">
      <c r="A33" s="1" t="s">
        <v>25</v>
      </c>
      <c r="B33" s="1" t="s">
        <v>463</v>
      </c>
      <c r="C33" s="2" t="s">
        <v>494</v>
      </c>
      <c r="D33" s="7">
        <f t="shared" ref="D33:H33" si="32">+50000</f>
        <v>50000</v>
      </c>
      <c r="E33" s="7">
        <f t="shared" si="32"/>
        <v>50000</v>
      </c>
      <c r="F33" s="7">
        <f t="shared" si="32"/>
        <v>50000</v>
      </c>
      <c r="G33" s="7">
        <f t="shared" si="32"/>
        <v>50000</v>
      </c>
      <c r="H33" s="7">
        <f t="shared" si="32"/>
        <v>50000</v>
      </c>
      <c r="I33" s="7">
        <f t="shared" ref="I33:J33" si="33">+100000</f>
        <v>100000</v>
      </c>
      <c r="J33" s="7">
        <f t="shared" si="33"/>
        <v>100000</v>
      </c>
      <c r="K33" s="7"/>
      <c r="L33" s="7"/>
      <c r="M33" s="7"/>
      <c r="N33" s="7"/>
    </row>
    <row r="34">
      <c r="A34" s="1" t="s">
        <v>25</v>
      </c>
      <c r="B34" s="1" t="s">
        <v>463</v>
      </c>
      <c r="C34" s="2" t="s">
        <v>495</v>
      </c>
      <c r="D34" s="7">
        <f t="shared" ref="D34:J34" si="34">+100000</f>
        <v>100000</v>
      </c>
      <c r="E34" s="7">
        <f t="shared" si="34"/>
        <v>100000</v>
      </c>
      <c r="F34" s="7">
        <f t="shared" si="34"/>
        <v>100000</v>
      </c>
      <c r="G34" s="7">
        <f t="shared" si="34"/>
        <v>100000</v>
      </c>
      <c r="H34" s="7">
        <f t="shared" si="34"/>
        <v>100000</v>
      </c>
      <c r="I34" s="7">
        <f t="shared" si="34"/>
        <v>100000</v>
      </c>
      <c r="J34" s="7">
        <f t="shared" si="34"/>
        <v>100000</v>
      </c>
      <c r="K34" s="7"/>
      <c r="L34" s="7"/>
      <c r="M34" s="7"/>
      <c r="N34" s="7"/>
    </row>
    <row r="35">
      <c r="A35" s="1" t="s">
        <v>25</v>
      </c>
      <c r="B35" s="1" t="s">
        <v>463</v>
      </c>
      <c r="C35" s="2" t="s">
        <v>496</v>
      </c>
      <c r="D35" s="7">
        <f t="shared" ref="D35:J35" si="35">+100000</f>
        <v>100000</v>
      </c>
      <c r="E35" s="7">
        <f t="shared" si="35"/>
        <v>100000</v>
      </c>
      <c r="F35" s="7">
        <f t="shared" si="35"/>
        <v>100000</v>
      </c>
      <c r="G35" s="7">
        <f t="shared" si="35"/>
        <v>100000</v>
      </c>
      <c r="H35" s="7">
        <f t="shared" si="35"/>
        <v>100000</v>
      </c>
      <c r="I35" s="7">
        <f t="shared" si="35"/>
        <v>100000</v>
      </c>
      <c r="J35" s="7">
        <f t="shared" si="35"/>
        <v>100000</v>
      </c>
      <c r="K35" s="7"/>
      <c r="L35" s="7"/>
      <c r="M35" s="7"/>
      <c r="N35" s="7"/>
    </row>
    <row r="36">
      <c r="A36" s="1" t="s">
        <v>25</v>
      </c>
      <c r="B36" s="1" t="s">
        <v>463</v>
      </c>
      <c r="C36" s="2" t="s">
        <v>497</v>
      </c>
      <c r="D36" s="7">
        <f t="shared" ref="D36:I36" si="36">+100000</f>
        <v>100000</v>
      </c>
      <c r="E36" s="7">
        <f t="shared" si="36"/>
        <v>100000</v>
      </c>
      <c r="F36" s="7">
        <f t="shared" si="36"/>
        <v>100000</v>
      </c>
      <c r="G36" s="7">
        <f t="shared" si="36"/>
        <v>100000</v>
      </c>
      <c r="H36" s="7">
        <f t="shared" si="36"/>
        <v>100000</v>
      </c>
      <c r="I36" s="7">
        <f t="shared" si="36"/>
        <v>100000</v>
      </c>
      <c r="J36" s="7"/>
      <c r="K36" s="7"/>
      <c r="L36" s="7"/>
      <c r="M36" s="7"/>
      <c r="N36" s="7"/>
    </row>
    <row r="37">
      <c r="A37" s="1" t="s">
        <v>25</v>
      </c>
      <c r="B37" s="1" t="s">
        <v>463</v>
      </c>
      <c r="C37" s="2" t="s">
        <v>498</v>
      </c>
      <c r="D37" s="7">
        <f>+8000</f>
        <v>8000</v>
      </c>
      <c r="E37" s="7">
        <f>+10000</f>
        <v>10000</v>
      </c>
      <c r="F37" s="7">
        <f>+25000</f>
        <v>25000</v>
      </c>
      <c r="G37" s="7">
        <f t="shared" ref="G37:H37" si="37">+50000</f>
        <v>50000</v>
      </c>
      <c r="H37" s="7">
        <f t="shared" si="37"/>
        <v>50000</v>
      </c>
      <c r="I37" s="7"/>
      <c r="J37" s="7"/>
      <c r="K37" s="7"/>
      <c r="L37" s="7"/>
      <c r="M37" s="7"/>
      <c r="N37" s="7"/>
    </row>
    <row r="38">
      <c r="A38" s="1" t="s">
        <v>25</v>
      </c>
      <c r="B38" s="1" t="s">
        <v>463</v>
      </c>
      <c r="C38" s="2" t="s">
        <v>499</v>
      </c>
      <c r="D38" s="7">
        <f t="shared" ref="D38:E38" si="38">+50000</f>
        <v>50000</v>
      </c>
      <c r="E38" s="7">
        <f t="shared" si="38"/>
        <v>50000</v>
      </c>
      <c r="F38" s="7">
        <f t="shared" ref="F38:H38" si="39">+100000</f>
        <v>100000</v>
      </c>
      <c r="G38" s="7">
        <f t="shared" si="39"/>
        <v>100000</v>
      </c>
      <c r="H38" s="7">
        <f t="shared" si="39"/>
        <v>100000</v>
      </c>
      <c r="I38" s="7"/>
      <c r="J38" s="7"/>
      <c r="K38" s="7"/>
      <c r="L38" s="7"/>
      <c r="M38" s="7"/>
      <c r="N38" s="7"/>
    </row>
    <row r="39">
      <c r="A39" s="1" t="s">
        <v>25</v>
      </c>
      <c r="B39" s="1" t="s">
        <v>463</v>
      </c>
      <c r="C39" s="2" t="s">
        <v>500</v>
      </c>
      <c r="D39" s="7">
        <f t="shared" ref="D39:H39" si="40">+100000</f>
        <v>100000</v>
      </c>
      <c r="E39" s="7">
        <f t="shared" si="40"/>
        <v>100000</v>
      </c>
      <c r="F39" s="7">
        <f t="shared" si="40"/>
        <v>100000</v>
      </c>
      <c r="G39" s="7">
        <f t="shared" si="40"/>
        <v>100000</v>
      </c>
      <c r="H39" s="7">
        <f t="shared" si="40"/>
        <v>100000</v>
      </c>
      <c r="I39" s="7"/>
      <c r="J39" s="7"/>
      <c r="K39" s="7"/>
      <c r="L39" s="7"/>
      <c r="M39" s="7"/>
      <c r="N39" s="7"/>
    </row>
    <row r="40">
      <c r="A40" s="1" t="s">
        <v>25</v>
      </c>
      <c r="B40" s="1" t="s">
        <v>463</v>
      </c>
      <c r="C40" s="2" t="s">
        <v>501</v>
      </c>
      <c r="D40" s="7"/>
      <c r="E40" s="7">
        <f t="shared" ref="E40:H40" si="41">+100000</f>
        <v>100000</v>
      </c>
      <c r="F40" s="7">
        <f t="shared" si="41"/>
        <v>100000</v>
      </c>
      <c r="G40" s="7">
        <f t="shared" si="41"/>
        <v>100000</v>
      </c>
      <c r="H40" s="7">
        <f t="shared" si="41"/>
        <v>100000</v>
      </c>
      <c r="I40" s="7"/>
      <c r="J40" s="7"/>
      <c r="K40" s="7"/>
      <c r="L40" s="7"/>
      <c r="M40" s="7"/>
      <c r="N40" s="7"/>
    </row>
    <row r="41">
      <c r="A41" s="1" t="s">
        <v>25</v>
      </c>
      <c r="B41" s="1" t="s">
        <v>463</v>
      </c>
      <c r="C41" s="2" t="s">
        <v>502</v>
      </c>
      <c r="D41" s="7"/>
      <c r="E41" s="7">
        <f t="shared" ref="E41:H41" si="42">+100000</f>
        <v>100000</v>
      </c>
      <c r="F41" s="7">
        <f t="shared" si="42"/>
        <v>100000</v>
      </c>
      <c r="G41" s="7">
        <f t="shared" si="42"/>
        <v>100000</v>
      </c>
      <c r="H41" s="7">
        <f t="shared" si="42"/>
        <v>100000</v>
      </c>
      <c r="I41" s="7"/>
      <c r="J41" s="7"/>
      <c r="K41" s="7"/>
      <c r="L41" s="7"/>
      <c r="M41" s="7"/>
      <c r="N41" s="7"/>
    </row>
    <row r="42">
      <c r="A42" s="1" t="s">
        <v>25</v>
      </c>
      <c r="B42" s="1" t="s">
        <v>463</v>
      </c>
      <c r="C42" s="2" t="s">
        <v>503</v>
      </c>
      <c r="D42" s="7"/>
      <c r="E42" s="7">
        <f t="shared" ref="E42:H42" si="43">+100000</f>
        <v>100000</v>
      </c>
      <c r="F42" s="7">
        <f t="shared" si="43"/>
        <v>100000</v>
      </c>
      <c r="G42" s="7">
        <f t="shared" si="43"/>
        <v>100000</v>
      </c>
      <c r="H42" s="7">
        <f t="shared" si="43"/>
        <v>100000</v>
      </c>
      <c r="I42" s="7"/>
      <c r="J42" s="7"/>
      <c r="K42" s="7"/>
      <c r="L42" s="7"/>
      <c r="M42" s="7"/>
    </row>
    <row r="43">
      <c r="C43" s="3" t="s">
        <v>2</v>
      </c>
      <c r="D43" s="4">
        <v>45830.0</v>
      </c>
      <c r="E43" s="4">
        <v>45880.0</v>
      </c>
      <c r="F43" s="4">
        <v>45931.0</v>
      </c>
      <c r="G43" s="4">
        <v>45962.0</v>
      </c>
      <c r="H43" s="4">
        <v>45992.0</v>
      </c>
      <c r="I43" s="4">
        <v>45658.0</v>
      </c>
      <c r="J43" s="4">
        <v>45689.0</v>
      </c>
      <c r="K43" s="4">
        <v>45717.0</v>
      </c>
      <c r="L43" s="4">
        <v>45748.0</v>
      </c>
      <c r="M43" s="5">
        <v>45778.0</v>
      </c>
      <c r="N43" s="6"/>
    </row>
    <row r="44">
      <c r="A44" s="1" t="s">
        <v>47</v>
      </c>
      <c r="B44" s="1" t="s">
        <v>463</v>
      </c>
      <c r="C44" s="2" t="s">
        <v>504</v>
      </c>
      <c r="D44" s="7">
        <f t="shared" ref="D44:E44" si="44">+105</f>
        <v>105</v>
      </c>
      <c r="E44" s="7">
        <f t="shared" si="44"/>
        <v>105</v>
      </c>
      <c r="F44" s="8">
        <v>-120.0</v>
      </c>
      <c r="G44" s="7"/>
      <c r="H44" s="8">
        <v>-120.0</v>
      </c>
      <c r="I44" s="8">
        <v>-400.0</v>
      </c>
      <c r="J44" s="8">
        <v>-650.0</v>
      </c>
      <c r="K44" s="8">
        <v>-3000.0</v>
      </c>
      <c r="L44" s="8">
        <v>-5000.0</v>
      </c>
      <c r="M44" s="7"/>
      <c r="N44" s="8" t="s">
        <v>27</v>
      </c>
    </row>
    <row r="45">
      <c r="A45" s="1" t="s">
        <v>47</v>
      </c>
      <c r="B45" s="1" t="s">
        <v>463</v>
      </c>
      <c r="C45" s="2" t="s">
        <v>505</v>
      </c>
      <c r="D45" s="7">
        <f t="shared" ref="D45:E45" si="45">+130</f>
        <v>130</v>
      </c>
      <c r="E45" s="7">
        <f t="shared" si="45"/>
        <v>130</v>
      </c>
      <c r="F45" s="7">
        <f>+120</f>
        <v>120</v>
      </c>
      <c r="G45" s="7"/>
      <c r="H45" s="7">
        <f>+120</f>
        <v>120</v>
      </c>
      <c r="I45" s="7">
        <f>+800</f>
        <v>800</v>
      </c>
      <c r="J45" s="7">
        <f>+1400</f>
        <v>1400</v>
      </c>
      <c r="K45" s="7">
        <f t="shared" ref="K45:K46" si="48">+1800</f>
        <v>1800</v>
      </c>
      <c r="L45" s="7">
        <f>+1600</f>
        <v>1600</v>
      </c>
      <c r="M45" s="7"/>
      <c r="N45" s="7"/>
    </row>
    <row r="46">
      <c r="A46" s="1" t="s">
        <v>47</v>
      </c>
      <c r="B46" s="1" t="s">
        <v>463</v>
      </c>
      <c r="C46" s="2" t="s">
        <v>506</v>
      </c>
      <c r="D46" s="7">
        <f t="shared" ref="D46:E46" si="46">+100000</f>
        <v>100000</v>
      </c>
      <c r="E46" s="7">
        <f t="shared" si="46"/>
        <v>100000</v>
      </c>
      <c r="F46" s="7">
        <f>+10000</f>
        <v>10000</v>
      </c>
      <c r="G46" s="7"/>
      <c r="H46" s="7">
        <f>+10000</f>
        <v>10000</v>
      </c>
      <c r="I46" s="7">
        <f t="shared" ref="I46:J46" si="47">+450</f>
        <v>450</v>
      </c>
      <c r="J46" s="7">
        <f t="shared" si="47"/>
        <v>450</v>
      </c>
      <c r="K46" s="7">
        <f t="shared" si="48"/>
        <v>1800</v>
      </c>
      <c r="L46" s="7">
        <f>+25000</f>
        <v>25000</v>
      </c>
      <c r="M46" s="7"/>
      <c r="N46" s="7"/>
    </row>
    <row r="47">
      <c r="A47" s="1" t="s">
        <v>47</v>
      </c>
      <c r="B47" s="1" t="s">
        <v>463</v>
      </c>
      <c r="C47" s="2" t="s">
        <v>507</v>
      </c>
      <c r="D47" s="7">
        <f t="shared" ref="D47:E47" si="49">+800</f>
        <v>800</v>
      </c>
      <c r="E47" s="7">
        <f t="shared" si="49"/>
        <v>800</v>
      </c>
      <c r="F47" s="7">
        <f>+1200</f>
        <v>1200</v>
      </c>
      <c r="G47" s="7"/>
      <c r="H47" s="7">
        <f>+1200</f>
        <v>1200</v>
      </c>
      <c r="I47" s="7">
        <f t="shared" ref="I47:J47" si="50">+2500</f>
        <v>2500</v>
      </c>
      <c r="J47" s="7">
        <f t="shared" si="50"/>
        <v>2500</v>
      </c>
      <c r="K47" s="7">
        <f>+10000</f>
        <v>10000</v>
      </c>
      <c r="L47" s="7"/>
      <c r="M47" s="7"/>
      <c r="N47" s="7"/>
    </row>
    <row r="48">
      <c r="A48" s="1" t="s">
        <v>47</v>
      </c>
      <c r="B48" s="1" t="s">
        <v>463</v>
      </c>
      <c r="C48" s="2" t="s">
        <v>508</v>
      </c>
      <c r="D48" s="7">
        <f t="shared" ref="D48:F48" si="51">+10000</f>
        <v>10000</v>
      </c>
      <c r="E48" s="7">
        <f t="shared" si="51"/>
        <v>10000</v>
      </c>
      <c r="F48" s="7">
        <f t="shared" si="51"/>
        <v>10000</v>
      </c>
      <c r="G48" s="7"/>
      <c r="H48" s="7">
        <f t="shared" ref="H48:H49" si="53">+10000</f>
        <v>10000</v>
      </c>
      <c r="I48" s="7">
        <f>+15000</f>
        <v>15000</v>
      </c>
      <c r="J48" s="7"/>
      <c r="K48" s="7"/>
      <c r="L48" s="7"/>
      <c r="M48" s="7"/>
      <c r="N48" s="7"/>
    </row>
    <row r="49">
      <c r="A49" s="1" t="s">
        <v>47</v>
      </c>
      <c r="B49" s="1" t="s">
        <v>463</v>
      </c>
      <c r="C49" s="2" t="s">
        <v>509</v>
      </c>
      <c r="D49" s="7">
        <f t="shared" ref="D49:E49" si="52">+4000</f>
        <v>4000</v>
      </c>
      <c r="E49" s="7">
        <f t="shared" si="52"/>
        <v>4000</v>
      </c>
      <c r="F49" s="7">
        <f>+10000</f>
        <v>10000</v>
      </c>
      <c r="G49" s="7"/>
      <c r="H49" s="7">
        <f t="shared" si="53"/>
        <v>10000</v>
      </c>
      <c r="I49" s="7">
        <f>+30000</f>
        <v>30000</v>
      </c>
      <c r="J49" s="7"/>
      <c r="K49" s="7"/>
      <c r="L49" s="7"/>
      <c r="M49" s="7"/>
      <c r="N49" s="7"/>
    </row>
    <row r="50">
      <c r="A50" s="1" t="s">
        <v>47</v>
      </c>
      <c r="B50" s="1" t="s">
        <v>463</v>
      </c>
      <c r="C50" s="2" t="s">
        <v>510</v>
      </c>
      <c r="D50" s="7">
        <f t="shared" ref="D50:E50" si="54">+10000</f>
        <v>10000</v>
      </c>
      <c r="E50" s="7">
        <f t="shared" si="54"/>
        <v>10000</v>
      </c>
      <c r="F50" s="7">
        <f>+25000</f>
        <v>25000</v>
      </c>
      <c r="G50" s="7"/>
      <c r="H50" s="7">
        <f>+25000</f>
        <v>25000</v>
      </c>
      <c r="I50" s="7">
        <f>+50000</f>
        <v>50000</v>
      </c>
      <c r="J50" s="7"/>
      <c r="K50" s="7"/>
      <c r="L50" s="7"/>
      <c r="M50" s="7"/>
      <c r="N50" s="7"/>
    </row>
    <row r="51">
      <c r="A51" s="1" t="s">
        <v>47</v>
      </c>
      <c r="B51" s="1" t="s">
        <v>463</v>
      </c>
      <c r="C51" s="2" t="s">
        <v>511</v>
      </c>
      <c r="D51" s="7">
        <f t="shared" ref="D51:E51" si="55">+100000</f>
        <v>100000</v>
      </c>
      <c r="E51" s="7">
        <f t="shared" si="55"/>
        <v>100000</v>
      </c>
      <c r="F51" s="7">
        <f>+15000</f>
        <v>15000</v>
      </c>
      <c r="G51" s="7"/>
      <c r="H51" s="7">
        <f>+15000</f>
        <v>15000</v>
      </c>
      <c r="I51" s="7"/>
      <c r="J51" s="7"/>
      <c r="K51" s="7"/>
      <c r="L51" s="7"/>
      <c r="M51" s="7"/>
      <c r="N51" s="7"/>
    </row>
    <row r="52">
      <c r="A52" s="1" t="s">
        <v>47</v>
      </c>
      <c r="B52" s="1" t="s">
        <v>463</v>
      </c>
      <c r="C52" s="2" t="s">
        <v>512</v>
      </c>
      <c r="D52" s="7">
        <f t="shared" ref="D52:E52" si="56">+3300</f>
        <v>3300</v>
      </c>
      <c r="E52" s="7">
        <f t="shared" si="56"/>
        <v>3300</v>
      </c>
      <c r="F52" s="7">
        <f>+25000</f>
        <v>25000</v>
      </c>
      <c r="G52" s="7"/>
      <c r="H52" s="7">
        <f>+25000</f>
        <v>25000</v>
      </c>
      <c r="I52" s="7"/>
      <c r="J52" s="7"/>
      <c r="K52" s="7"/>
      <c r="L52" s="7"/>
      <c r="M52" s="7"/>
      <c r="N52" s="7"/>
    </row>
    <row r="53">
      <c r="A53" s="1" t="s">
        <v>47</v>
      </c>
      <c r="B53" s="1" t="s">
        <v>463</v>
      </c>
      <c r="C53" s="2" t="s">
        <v>513</v>
      </c>
      <c r="D53" s="7">
        <f t="shared" ref="D53:E53" si="57">+4000</f>
        <v>4000</v>
      </c>
      <c r="E53" s="7">
        <f t="shared" si="57"/>
        <v>4000</v>
      </c>
      <c r="F53" s="7">
        <f>+30000</f>
        <v>30000</v>
      </c>
      <c r="G53" s="7"/>
      <c r="H53" s="7">
        <f>+30000</f>
        <v>30000</v>
      </c>
      <c r="I53" s="7"/>
      <c r="J53" s="7"/>
      <c r="K53" s="7"/>
      <c r="L53" s="7"/>
      <c r="M53" s="7"/>
      <c r="N53" s="7"/>
    </row>
    <row r="54">
      <c r="A54" s="1" t="s">
        <v>47</v>
      </c>
      <c r="B54" s="1" t="s">
        <v>463</v>
      </c>
      <c r="C54" s="2" t="s">
        <v>514</v>
      </c>
      <c r="D54" s="7">
        <f t="shared" ref="D54:F54" si="58">+50000</f>
        <v>50000</v>
      </c>
      <c r="E54" s="7">
        <f t="shared" si="58"/>
        <v>50000</v>
      </c>
      <c r="F54" s="7">
        <f t="shared" si="58"/>
        <v>50000</v>
      </c>
      <c r="G54" s="7"/>
      <c r="H54" s="7">
        <f t="shared" ref="H54:H55" si="60">+50000</f>
        <v>50000</v>
      </c>
      <c r="I54" s="7"/>
      <c r="J54" s="7"/>
      <c r="K54" s="7"/>
      <c r="L54" s="7"/>
      <c r="M54" s="7"/>
      <c r="N54" s="7"/>
    </row>
    <row r="55">
      <c r="A55" s="1" t="s">
        <v>47</v>
      </c>
      <c r="B55" s="1" t="s">
        <v>463</v>
      </c>
      <c r="C55" s="2" t="s">
        <v>515</v>
      </c>
      <c r="D55" s="7">
        <f t="shared" ref="D55:F55" si="59">+50000</f>
        <v>50000</v>
      </c>
      <c r="E55" s="7">
        <f t="shared" si="59"/>
        <v>50000</v>
      </c>
      <c r="F55" s="7">
        <f t="shared" si="59"/>
        <v>50000</v>
      </c>
      <c r="G55" s="7"/>
      <c r="H55" s="7">
        <f t="shared" si="60"/>
        <v>50000</v>
      </c>
      <c r="I55" s="7"/>
      <c r="J55" s="7"/>
      <c r="K55" s="7"/>
      <c r="L55" s="7"/>
      <c r="M55" s="7"/>
      <c r="N55" s="7"/>
    </row>
    <row r="56">
      <c r="A56" s="1" t="s">
        <v>47</v>
      </c>
      <c r="B56" s="1" t="s">
        <v>463</v>
      </c>
      <c r="C56" s="2" t="s">
        <v>516</v>
      </c>
      <c r="D56" s="7">
        <f t="shared" ref="D56:E56" si="61">+100000</f>
        <v>100000</v>
      </c>
      <c r="E56" s="7">
        <f t="shared" si="61"/>
        <v>100000</v>
      </c>
      <c r="F56" s="7">
        <f>+75000</f>
        <v>75000</v>
      </c>
      <c r="G56" s="7"/>
      <c r="H56" s="7">
        <f>+75000</f>
        <v>75000</v>
      </c>
      <c r="I56" s="7"/>
      <c r="J56" s="7"/>
      <c r="K56" s="7"/>
      <c r="L56" s="7"/>
      <c r="M56" s="7"/>
      <c r="N56" s="7"/>
    </row>
    <row r="57">
      <c r="A57" s="1" t="s">
        <v>47</v>
      </c>
      <c r="B57" s="1" t="s">
        <v>463</v>
      </c>
      <c r="C57" s="2" t="s">
        <v>517</v>
      </c>
      <c r="D57" s="7">
        <f t="shared" ref="D57:F57" si="62">+100000</f>
        <v>100000</v>
      </c>
      <c r="E57" s="7">
        <f t="shared" si="62"/>
        <v>100000</v>
      </c>
      <c r="F57" s="7">
        <f t="shared" si="62"/>
        <v>100000</v>
      </c>
      <c r="G57" s="7"/>
      <c r="H57" s="7">
        <f t="shared" ref="H57:H59" si="64">+100000</f>
        <v>100000</v>
      </c>
      <c r="I57" s="7"/>
      <c r="J57" s="7"/>
      <c r="K57" s="7"/>
      <c r="L57" s="7"/>
      <c r="M57" s="7"/>
      <c r="N57" s="7"/>
    </row>
    <row r="58">
      <c r="A58" s="1" t="s">
        <v>47</v>
      </c>
      <c r="B58" s="1" t="s">
        <v>463</v>
      </c>
      <c r="C58" s="2" t="s">
        <v>518</v>
      </c>
      <c r="D58" s="7">
        <f t="shared" ref="D58:F58" si="63">+100000</f>
        <v>100000</v>
      </c>
      <c r="E58" s="7">
        <f t="shared" si="63"/>
        <v>100000</v>
      </c>
      <c r="F58" s="7">
        <f t="shared" si="63"/>
        <v>100000</v>
      </c>
      <c r="G58" s="7"/>
      <c r="H58" s="7">
        <f t="shared" si="64"/>
        <v>100000</v>
      </c>
      <c r="I58" s="7"/>
      <c r="J58" s="7"/>
      <c r="K58" s="7"/>
      <c r="L58" s="7"/>
      <c r="M58" s="7"/>
      <c r="N58" s="7"/>
    </row>
    <row r="59">
      <c r="A59" s="1" t="s">
        <v>47</v>
      </c>
      <c r="B59" s="1" t="s">
        <v>463</v>
      </c>
      <c r="C59" s="2" t="s">
        <v>519</v>
      </c>
      <c r="D59" s="7">
        <f t="shared" ref="D59:E59" si="65">+200000</f>
        <v>200000</v>
      </c>
      <c r="E59" s="7">
        <f t="shared" si="65"/>
        <v>200000</v>
      </c>
      <c r="F59" s="7">
        <f>+100000</f>
        <v>100000</v>
      </c>
      <c r="G59" s="7"/>
      <c r="H59" s="7">
        <f t="shared" si="64"/>
        <v>100000</v>
      </c>
      <c r="I59" s="7"/>
      <c r="J59" s="7"/>
      <c r="K59" s="7"/>
      <c r="L59" s="7"/>
      <c r="M59" s="7"/>
      <c r="N59" s="7"/>
    </row>
    <row r="60">
      <c r="A60" s="1" t="s">
        <v>47</v>
      </c>
      <c r="B60" s="1" t="s">
        <v>463</v>
      </c>
      <c r="C60" s="2" t="s">
        <v>520</v>
      </c>
      <c r="D60" s="7">
        <f t="shared" ref="D60:E60" si="66">+200000</f>
        <v>200000</v>
      </c>
      <c r="E60" s="7">
        <f t="shared" si="66"/>
        <v>200000</v>
      </c>
      <c r="F60" s="7">
        <f t="shared" ref="F60:F61" si="68">+150000</f>
        <v>150000</v>
      </c>
      <c r="G60" s="7"/>
      <c r="H60" s="7">
        <f t="shared" ref="H60:H61" si="69">+150000</f>
        <v>150000</v>
      </c>
      <c r="I60" s="7"/>
      <c r="J60" s="7"/>
      <c r="K60" s="7"/>
      <c r="L60" s="7"/>
      <c r="M60" s="7"/>
      <c r="N60" s="7"/>
    </row>
    <row r="61">
      <c r="A61" s="1" t="s">
        <v>47</v>
      </c>
      <c r="B61" s="1" t="s">
        <v>463</v>
      </c>
      <c r="C61" s="2" t="s">
        <v>521</v>
      </c>
      <c r="D61" s="7">
        <f t="shared" ref="D61:E61" si="67">+200000</f>
        <v>200000</v>
      </c>
      <c r="E61" s="7">
        <f t="shared" si="67"/>
        <v>200000</v>
      </c>
      <c r="F61" s="7">
        <f t="shared" si="68"/>
        <v>150000</v>
      </c>
      <c r="G61" s="7"/>
      <c r="H61" s="7">
        <f t="shared" si="69"/>
        <v>150000</v>
      </c>
      <c r="I61" s="7"/>
      <c r="J61" s="7"/>
      <c r="K61" s="7"/>
      <c r="L61" s="7"/>
      <c r="M61" s="7"/>
      <c r="N61" s="7"/>
    </row>
    <row r="62">
      <c r="A62" s="1" t="s">
        <v>47</v>
      </c>
      <c r="B62" s="1" t="s">
        <v>463</v>
      </c>
      <c r="C62" s="2" t="s">
        <v>522</v>
      </c>
      <c r="D62" s="7">
        <f t="shared" ref="D62:E62" si="70">+150000</f>
        <v>150000</v>
      </c>
      <c r="E62" s="7">
        <f t="shared" si="70"/>
        <v>150000</v>
      </c>
      <c r="F62" s="7">
        <f>+200000</f>
        <v>200000</v>
      </c>
      <c r="G62" s="7"/>
      <c r="H62" s="7">
        <f>+200000</f>
        <v>200000</v>
      </c>
      <c r="I62" s="7"/>
      <c r="J62" s="7"/>
      <c r="K62" s="7"/>
      <c r="L62" s="7"/>
      <c r="M62" s="7"/>
      <c r="N62" s="7"/>
    </row>
    <row r="63">
      <c r="A63" s="1" t="s">
        <v>47</v>
      </c>
      <c r="B63" s="1" t="s">
        <v>463</v>
      </c>
      <c r="C63" s="2" t="s">
        <v>523</v>
      </c>
      <c r="D63" s="7">
        <f t="shared" ref="D63:E63" si="71">+200000</f>
        <v>200000</v>
      </c>
      <c r="E63" s="7">
        <f t="shared" si="71"/>
        <v>200000</v>
      </c>
      <c r="F63" s="7">
        <f>+250000</f>
        <v>250000</v>
      </c>
      <c r="G63" s="7"/>
      <c r="H63" s="7">
        <f>+250000</f>
        <v>250000</v>
      </c>
      <c r="I63" s="7"/>
      <c r="J63" s="7"/>
      <c r="K63" s="7"/>
      <c r="L63" s="7"/>
      <c r="M63" s="7"/>
      <c r="N63" s="7"/>
    </row>
    <row r="64">
      <c r="C64" s="3" t="s">
        <v>2</v>
      </c>
      <c r="D64" s="4">
        <v>45809.0</v>
      </c>
      <c r="E64" s="4">
        <v>45881.0</v>
      </c>
      <c r="F64" s="4">
        <v>45931.0</v>
      </c>
      <c r="G64" s="4">
        <v>45962.0</v>
      </c>
      <c r="H64" s="4">
        <v>45992.0</v>
      </c>
      <c r="I64" s="4">
        <v>45658.0</v>
      </c>
      <c r="J64" s="4">
        <v>45689.0</v>
      </c>
      <c r="K64" s="4">
        <v>45717.0</v>
      </c>
      <c r="L64" s="4">
        <v>45748.0</v>
      </c>
      <c r="M64" s="5">
        <v>45778.0</v>
      </c>
      <c r="N64" s="6"/>
    </row>
    <row r="65">
      <c r="A65" s="1" t="s">
        <v>68</v>
      </c>
      <c r="B65" s="1" t="s">
        <v>463</v>
      </c>
      <c r="C65" s="2" t="s">
        <v>524</v>
      </c>
      <c r="D65" s="7">
        <f t="shared" ref="D65:E65" si="72">+135</f>
        <v>135</v>
      </c>
      <c r="E65" s="7">
        <f t="shared" si="72"/>
        <v>135</v>
      </c>
      <c r="F65" s="8">
        <v>-115.0</v>
      </c>
      <c r="G65" s="8">
        <v>-125.0</v>
      </c>
      <c r="H65" s="8">
        <v>-165.0</v>
      </c>
      <c r="I65" s="8">
        <v>-160.0</v>
      </c>
      <c r="J65" s="8">
        <v>-350.0</v>
      </c>
      <c r="K65" s="8">
        <v>-1000.0</v>
      </c>
      <c r="L65" s="8">
        <v>-10000.0</v>
      </c>
      <c r="M65" s="7"/>
      <c r="N65" s="8" t="s">
        <v>27</v>
      </c>
    </row>
    <row r="66">
      <c r="A66" s="1" t="s">
        <v>68</v>
      </c>
      <c r="B66" s="1" t="s">
        <v>463</v>
      </c>
      <c r="C66" s="2" t="s">
        <v>525</v>
      </c>
      <c r="D66" s="7">
        <f t="shared" ref="D66:F66" si="73">+110</f>
        <v>110</v>
      </c>
      <c r="E66" s="7">
        <f t="shared" si="73"/>
        <v>110</v>
      </c>
      <c r="F66" s="7">
        <f t="shared" si="73"/>
        <v>110</v>
      </c>
      <c r="G66" s="7">
        <f>+100</f>
        <v>100</v>
      </c>
      <c r="H66" s="7">
        <f>+130</f>
        <v>130</v>
      </c>
      <c r="I66" s="7">
        <f>+120</f>
        <v>120</v>
      </c>
      <c r="J66" s="7">
        <f>+225</f>
        <v>225</v>
      </c>
      <c r="K66" s="7">
        <f>+500</f>
        <v>500</v>
      </c>
      <c r="L66" s="7">
        <f>+1600</f>
        <v>1600</v>
      </c>
      <c r="M66" s="7">
        <f>+5000</f>
        <v>5000</v>
      </c>
      <c r="N66" s="7"/>
    </row>
    <row r="67">
      <c r="A67" s="1" t="s">
        <v>68</v>
      </c>
      <c r="B67" s="1" t="s">
        <v>463</v>
      </c>
      <c r="C67" s="2" t="s">
        <v>526</v>
      </c>
      <c r="D67" s="7">
        <f t="shared" ref="D67:E67" si="74">+550</f>
        <v>550</v>
      </c>
      <c r="E67" s="7">
        <f t="shared" si="74"/>
        <v>550</v>
      </c>
      <c r="F67" s="7">
        <f>+1800</f>
        <v>1800</v>
      </c>
      <c r="G67" s="7">
        <f>+4000</f>
        <v>4000</v>
      </c>
      <c r="H67" s="7">
        <f t="shared" ref="H67:I67" si="75">+10000</f>
        <v>10000</v>
      </c>
      <c r="I67" s="7">
        <f t="shared" si="75"/>
        <v>10000</v>
      </c>
      <c r="J67" s="7">
        <f>+20000</f>
        <v>20000</v>
      </c>
      <c r="K67" s="7"/>
      <c r="L67" s="7"/>
      <c r="M67" s="7">
        <f>+50000</f>
        <v>50000</v>
      </c>
      <c r="N67" s="7"/>
    </row>
    <row r="68">
      <c r="A68" s="1" t="s">
        <v>68</v>
      </c>
      <c r="B68" s="1" t="s">
        <v>463</v>
      </c>
      <c r="C68" s="2" t="s">
        <v>527</v>
      </c>
      <c r="D68" s="7">
        <f t="shared" ref="D68:E68" si="76">+5000</f>
        <v>5000</v>
      </c>
      <c r="E68" s="7">
        <f t="shared" si="76"/>
        <v>5000</v>
      </c>
      <c r="F68" s="7">
        <f>+15000</f>
        <v>15000</v>
      </c>
      <c r="G68" s="7">
        <f t="shared" ref="G68:G69" si="78">+12500</f>
        <v>12500</v>
      </c>
      <c r="H68" s="7">
        <f>+15000</f>
        <v>15000</v>
      </c>
      <c r="I68" s="7">
        <f>+20000</f>
        <v>20000</v>
      </c>
      <c r="J68" s="7">
        <f>+10000</f>
        <v>10000</v>
      </c>
      <c r="K68" s="7"/>
      <c r="L68" s="7"/>
      <c r="M68" s="7"/>
      <c r="N68" s="7"/>
    </row>
    <row r="69">
      <c r="A69" s="1" t="s">
        <v>68</v>
      </c>
      <c r="B69" s="1" t="s">
        <v>463</v>
      </c>
      <c r="C69" s="2" t="s">
        <v>528</v>
      </c>
      <c r="D69" s="7">
        <f t="shared" ref="D69:F69" si="77">+4000</f>
        <v>4000</v>
      </c>
      <c r="E69" s="7">
        <f t="shared" si="77"/>
        <v>4000</v>
      </c>
      <c r="F69" s="7">
        <f t="shared" si="77"/>
        <v>4000</v>
      </c>
      <c r="G69" s="7">
        <f t="shared" si="78"/>
        <v>12500</v>
      </c>
      <c r="H69" s="7">
        <f t="shared" ref="H69:J69" si="79">+25000</f>
        <v>25000</v>
      </c>
      <c r="I69" s="7">
        <f t="shared" si="79"/>
        <v>25000</v>
      </c>
      <c r="J69" s="7">
        <f t="shared" si="79"/>
        <v>25000</v>
      </c>
      <c r="K69" s="7"/>
      <c r="L69" s="7"/>
      <c r="M69" s="7"/>
      <c r="N69" s="7"/>
    </row>
    <row r="70">
      <c r="A70" s="1" t="s">
        <v>68</v>
      </c>
      <c r="B70" s="1" t="s">
        <v>463</v>
      </c>
      <c r="C70" s="2" t="s">
        <v>529</v>
      </c>
      <c r="D70" s="7">
        <f t="shared" ref="D70:E70" si="80">+10000</f>
        <v>10000</v>
      </c>
      <c r="E70" s="7">
        <f t="shared" si="80"/>
        <v>10000</v>
      </c>
      <c r="F70" s="7">
        <f t="shared" ref="F70:F71" si="83">+6600</f>
        <v>6600</v>
      </c>
      <c r="G70" s="7">
        <f t="shared" ref="G70:I70" si="81">+25000</f>
        <v>25000</v>
      </c>
      <c r="H70" s="7">
        <f t="shared" si="81"/>
        <v>25000</v>
      </c>
      <c r="I70" s="7">
        <f t="shared" si="81"/>
        <v>25000</v>
      </c>
      <c r="J70" s="7">
        <f>+50000</f>
        <v>50000</v>
      </c>
      <c r="K70" s="7"/>
      <c r="L70" s="7"/>
      <c r="M70" s="7"/>
      <c r="N70" s="7"/>
    </row>
    <row r="71">
      <c r="A71" s="1" t="s">
        <v>68</v>
      </c>
      <c r="B71" s="1" t="s">
        <v>463</v>
      </c>
      <c r="C71" s="2" t="s">
        <v>530</v>
      </c>
      <c r="D71" s="7">
        <f t="shared" ref="D71:E71" si="82">+20000</f>
        <v>20000</v>
      </c>
      <c r="E71" s="7">
        <f t="shared" si="82"/>
        <v>20000</v>
      </c>
      <c r="F71" s="7">
        <f t="shared" si="83"/>
        <v>6600</v>
      </c>
      <c r="G71" s="7">
        <f>+10000</f>
        <v>10000</v>
      </c>
      <c r="H71" s="7">
        <f>+15000</f>
        <v>15000</v>
      </c>
      <c r="I71" s="7">
        <f>+25000</f>
        <v>25000</v>
      </c>
      <c r="J71" s="7"/>
      <c r="K71" s="7"/>
      <c r="L71" s="7"/>
      <c r="M71" s="7"/>
      <c r="N71" s="7"/>
    </row>
    <row r="72">
      <c r="A72" s="1" t="s">
        <v>68</v>
      </c>
      <c r="B72" s="1" t="s">
        <v>463</v>
      </c>
      <c r="C72" s="2" t="s">
        <v>531</v>
      </c>
      <c r="D72" s="7">
        <f t="shared" ref="D72:H72" si="84">+50000</f>
        <v>50000</v>
      </c>
      <c r="E72" s="7">
        <f t="shared" si="84"/>
        <v>50000</v>
      </c>
      <c r="F72" s="7">
        <f t="shared" si="84"/>
        <v>50000</v>
      </c>
      <c r="G72" s="7">
        <f t="shared" si="84"/>
        <v>50000</v>
      </c>
      <c r="H72" s="7">
        <f t="shared" si="84"/>
        <v>50000</v>
      </c>
      <c r="I72" s="7"/>
      <c r="J72" s="7"/>
      <c r="K72" s="7"/>
      <c r="L72" s="7"/>
      <c r="M72" s="7"/>
      <c r="N72" s="7"/>
    </row>
    <row r="73">
      <c r="A73" s="1" t="s">
        <v>68</v>
      </c>
      <c r="B73" s="1" t="s">
        <v>463</v>
      </c>
      <c r="C73" s="2" t="s">
        <v>532</v>
      </c>
      <c r="D73" s="7">
        <f t="shared" ref="D73:E73" si="85">+1600</f>
        <v>1600</v>
      </c>
      <c r="E73" s="7">
        <f t="shared" si="85"/>
        <v>1600</v>
      </c>
      <c r="F73" s="7">
        <f>+20000</f>
        <v>20000</v>
      </c>
      <c r="G73" s="7">
        <f t="shared" ref="G73:G75" si="87">+50000</f>
        <v>50000</v>
      </c>
      <c r="H73" s="7"/>
      <c r="I73" s="7"/>
      <c r="J73" s="7"/>
      <c r="K73" s="7"/>
      <c r="L73" s="7"/>
      <c r="M73" s="7"/>
      <c r="N73" s="7"/>
    </row>
    <row r="74">
      <c r="A74" s="1" t="s">
        <v>68</v>
      </c>
      <c r="B74" s="1" t="s">
        <v>463</v>
      </c>
      <c r="C74" s="2" t="s">
        <v>533</v>
      </c>
      <c r="D74" s="7">
        <f t="shared" ref="D74:F74" si="86">+25000</f>
        <v>25000</v>
      </c>
      <c r="E74" s="7">
        <f t="shared" si="86"/>
        <v>25000</v>
      </c>
      <c r="F74" s="7">
        <f t="shared" si="86"/>
        <v>25000</v>
      </c>
      <c r="G74" s="7">
        <f t="shared" si="87"/>
        <v>50000</v>
      </c>
      <c r="H74" s="7"/>
      <c r="I74" s="7"/>
      <c r="J74" s="7"/>
      <c r="K74" s="7"/>
      <c r="L74" s="7"/>
      <c r="M74" s="7"/>
      <c r="N74" s="7"/>
    </row>
    <row r="75">
      <c r="A75" s="1" t="s">
        <v>68</v>
      </c>
      <c r="B75" s="1" t="s">
        <v>463</v>
      </c>
      <c r="C75" s="2" t="s">
        <v>534</v>
      </c>
      <c r="D75" s="7">
        <f t="shared" ref="D75:F75" si="88">+25000</f>
        <v>25000</v>
      </c>
      <c r="E75" s="7">
        <f t="shared" si="88"/>
        <v>25000</v>
      </c>
      <c r="F75" s="7">
        <f t="shared" si="88"/>
        <v>25000</v>
      </c>
      <c r="G75" s="7">
        <f t="shared" si="87"/>
        <v>50000</v>
      </c>
      <c r="H75" s="7"/>
      <c r="I75" s="7"/>
      <c r="J75" s="7"/>
      <c r="K75" s="7"/>
      <c r="L75" s="7"/>
      <c r="M75" s="7"/>
      <c r="N75" s="7"/>
    </row>
    <row r="76">
      <c r="A76" s="1" t="s">
        <v>68</v>
      </c>
      <c r="B76" s="1" t="s">
        <v>463</v>
      </c>
      <c r="C76" s="2" t="s">
        <v>535</v>
      </c>
      <c r="D76" s="7">
        <f t="shared" ref="D76:G76" si="89">+50000</f>
        <v>50000</v>
      </c>
      <c r="E76" s="7">
        <f t="shared" si="89"/>
        <v>50000</v>
      </c>
      <c r="F76" s="7">
        <f t="shared" si="89"/>
        <v>50000</v>
      </c>
      <c r="G76" s="7">
        <f t="shared" si="89"/>
        <v>50000</v>
      </c>
      <c r="H76" s="7"/>
      <c r="I76" s="7"/>
      <c r="J76" s="7"/>
      <c r="K76" s="7"/>
      <c r="L76" s="7"/>
      <c r="M76" s="7"/>
      <c r="N76" s="7"/>
    </row>
    <row r="77">
      <c r="A77" s="1" t="s">
        <v>68</v>
      </c>
      <c r="B77" s="1" t="s">
        <v>463</v>
      </c>
      <c r="C77" s="2" t="s">
        <v>536</v>
      </c>
      <c r="D77" s="7">
        <f t="shared" ref="D77:E77" si="90">+25000</f>
        <v>25000</v>
      </c>
      <c r="E77" s="7">
        <f t="shared" si="90"/>
        <v>25000</v>
      </c>
      <c r="F77" s="7">
        <f t="shared" ref="F77:G77" si="91">+100000</f>
        <v>100000</v>
      </c>
      <c r="G77" s="7">
        <f t="shared" si="91"/>
        <v>100000</v>
      </c>
      <c r="H77" s="7"/>
      <c r="I77" s="7"/>
      <c r="J77" s="7"/>
      <c r="K77" s="7"/>
      <c r="L77" s="7"/>
      <c r="M77" s="7"/>
      <c r="N77" s="7"/>
    </row>
    <row r="78">
      <c r="A78" s="1" t="s">
        <v>68</v>
      </c>
      <c r="B78" s="1" t="s">
        <v>463</v>
      </c>
      <c r="C78" s="2" t="s">
        <v>537</v>
      </c>
      <c r="D78" s="7">
        <f t="shared" ref="D78:E78" si="92">+25000</f>
        <v>25000</v>
      </c>
      <c r="E78" s="7">
        <f t="shared" si="92"/>
        <v>25000</v>
      </c>
      <c r="F78" s="7">
        <f t="shared" ref="F78:G78" si="93">+100000</f>
        <v>100000</v>
      </c>
      <c r="G78" s="7">
        <f t="shared" si="93"/>
        <v>100000</v>
      </c>
      <c r="H78" s="7"/>
      <c r="I78" s="7"/>
      <c r="J78" s="7"/>
      <c r="K78" s="7"/>
      <c r="L78" s="7"/>
      <c r="M78" s="7"/>
      <c r="N78" s="7"/>
    </row>
    <row r="79">
      <c r="A79" s="1" t="s">
        <v>68</v>
      </c>
      <c r="B79" s="1" t="s">
        <v>463</v>
      </c>
      <c r="C79" s="2" t="s">
        <v>538</v>
      </c>
      <c r="D79" s="7">
        <f t="shared" ref="D79:E79" si="94">+50000</f>
        <v>50000</v>
      </c>
      <c r="E79" s="7">
        <f t="shared" si="94"/>
        <v>50000</v>
      </c>
      <c r="F79" s="7">
        <f t="shared" ref="F79:G79" si="95">+100000</f>
        <v>100000</v>
      </c>
      <c r="G79" s="7">
        <f t="shared" si="95"/>
        <v>100000</v>
      </c>
      <c r="H79" s="7"/>
      <c r="I79" s="7"/>
      <c r="J79" s="7"/>
      <c r="K79" s="7"/>
      <c r="L79" s="7"/>
      <c r="M79" s="7"/>
      <c r="N79" s="7"/>
    </row>
    <row r="80">
      <c r="A80" s="1" t="s">
        <v>68</v>
      </c>
      <c r="B80" s="1" t="s">
        <v>463</v>
      </c>
      <c r="C80" s="2" t="s">
        <v>539</v>
      </c>
      <c r="D80" s="7">
        <f t="shared" ref="D80:G80" si="96">+100000</f>
        <v>100000</v>
      </c>
      <c r="E80" s="7">
        <f t="shared" si="96"/>
        <v>100000</v>
      </c>
      <c r="F80" s="7">
        <f t="shared" si="96"/>
        <v>100000</v>
      </c>
      <c r="G80" s="7">
        <f t="shared" si="96"/>
        <v>100000</v>
      </c>
      <c r="H80" s="7"/>
      <c r="I80" s="7"/>
      <c r="J80" s="7"/>
      <c r="K80" s="7"/>
      <c r="L80" s="7"/>
      <c r="M80" s="7"/>
      <c r="N80" s="7"/>
    </row>
    <row r="81">
      <c r="A81" s="1" t="s">
        <v>68</v>
      </c>
      <c r="B81" s="1" t="s">
        <v>463</v>
      </c>
      <c r="C81" s="2" t="s">
        <v>540</v>
      </c>
      <c r="D81" s="7">
        <f t="shared" ref="D81:E81" si="97">+10000</f>
        <v>10000</v>
      </c>
      <c r="E81" s="7">
        <f t="shared" si="97"/>
        <v>10000</v>
      </c>
      <c r="F81" s="7">
        <f>+25000</f>
        <v>25000</v>
      </c>
      <c r="G81" s="7">
        <f t="shared" ref="G81:G83" si="99">+150000</f>
        <v>150000</v>
      </c>
      <c r="H81" s="7"/>
      <c r="I81" s="7"/>
      <c r="J81" s="7"/>
      <c r="K81" s="7"/>
      <c r="L81" s="7"/>
      <c r="M81" s="7"/>
      <c r="N81" s="7"/>
    </row>
    <row r="82">
      <c r="A82" s="1" t="s">
        <v>68</v>
      </c>
      <c r="B82" s="1" t="s">
        <v>463</v>
      </c>
      <c r="C82" s="2" t="s">
        <v>541</v>
      </c>
      <c r="D82" s="7">
        <f t="shared" ref="D82:E82" si="98">+50000</f>
        <v>50000</v>
      </c>
      <c r="E82" s="7">
        <f t="shared" si="98"/>
        <v>50000</v>
      </c>
      <c r="F82" s="7">
        <f t="shared" ref="F82:F83" si="101">+100000</f>
        <v>100000</v>
      </c>
      <c r="G82" s="7">
        <f t="shared" si="99"/>
        <v>150000</v>
      </c>
      <c r="H82" s="7"/>
      <c r="I82" s="7"/>
      <c r="J82" s="7"/>
      <c r="K82" s="7"/>
      <c r="L82" s="7"/>
      <c r="M82" s="7"/>
      <c r="N82" s="7"/>
    </row>
    <row r="83">
      <c r="A83" s="1" t="s">
        <v>68</v>
      </c>
      <c r="B83" s="1" t="s">
        <v>463</v>
      </c>
      <c r="C83" s="2" t="s">
        <v>542</v>
      </c>
      <c r="D83" s="7">
        <f t="shared" ref="D83:E83" si="100">+75000</f>
        <v>75000</v>
      </c>
      <c r="E83" s="7">
        <f t="shared" si="100"/>
        <v>75000</v>
      </c>
      <c r="F83" s="7">
        <f t="shared" si="101"/>
        <v>100000</v>
      </c>
      <c r="G83" s="7">
        <f t="shared" si="99"/>
        <v>150000</v>
      </c>
      <c r="H83" s="7"/>
      <c r="I83" s="7"/>
      <c r="J83" s="7"/>
      <c r="K83" s="7"/>
      <c r="L83" s="7"/>
      <c r="M83" s="7"/>
      <c r="N83" s="7"/>
    </row>
    <row r="84">
      <c r="A84" s="1" t="s">
        <v>68</v>
      </c>
      <c r="B84" s="1" t="s">
        <v>463</v>
      </c>
      <c r="C84" s="2" t="s">
        <v>543</v>
      </c>
      <c r="D84" s="7">
        <f t="shared" ref="D84:E84" si="102">+100000</f>
        <v>100000</v>
      </c>
      <c r="E84" s="7">
        <f t="shared" si="102"/>
        <v>100000</v>
      </c>
      <c r="F84" s="7">
        <f t="shared" ref="F84:G84" si="103">+150000</f>
        <v>150000</v>
      </c>
      <c r="G84" s="7">
        <f t="shared" si="103"/>
        <v>150000</v>
      </c>
      <c r="H84" s="7"/>
      <c r="I84" s="7"/>
    </row>
    <row r="85">
      <c r="C85" s="3" t="s">
        <v>2</v>
      </c>
      <c r="D85" s="4">
        <v>45882.0</v>
      </c>
      <c r="E85" s="4">
        <v>45931.0</v>
      </c>
      <c r="F85" s="4">
        <v>45962.0</v>
      </c>
      <c r="G85" s="4">
        <v>45992.0</v>
      </c>
      <c r="H85" s="4">
        <v>45658.0</v>
      </c>
      <c r="I85" s="4">
        <v>45689.0</v>
      </c>
      <c r="J85" s="4">
        <v>45717.0</v>
      </c>
      <c r="K85" s="4">
        <v>45748.0</v>
      </c>
      <c r="L85" s="5">
        <v>45778.0</v>
      </c>
      <c r="M85" s="6"/>
    </row>
    <row r="86">
      <c r="A86" s="1" t="s">
        <v>89</v>
      </c>
      <c r="B86" s="1" t="s">
        <v>463</v>
      </c>
      <c r="C86" s="2" t="s">
        <v>544</v>
      </c>
      <c r="D86" s="7">
        <f>+100</f>
        <v>100</v>
      </c>
      <c r="E86" s="7"/>
      <c r="F86" s="8">
        <v>-165.0</v>
      </c>
      <c r="G86" s="8">
        <v>-250.0</v>
      </c>
      <c r="H86" s="8">
        <v>-700.0</v>
      </c>
      <c r="I86" s="8">
        <v>-1000.0</v>
      </c>
      <c r="J86" s="8">
        <v>-1400.0</v>
      </c>
      <c r="K86" s="8">
        <v>-2000.0</v>
      </c>
      <c r="L86" s="7"/>
      <c r="M86" s="8" t="s">
        <v>27</v>
      </c>
    </row>
    <row r="87">
      <c r="A87" s="1" t="s">
        <v>89</v>
      </c>
      <c r="B87" s="1" t="s">
        <v>463</v>
      </c>
      <c r="C87" s="2" t="s">
        <v>545</v>
      </c>
      <c r="D87" s="7">
        <f>+200</f>
        <v>200</v>
      </c>
      <c r="E87" s="7"/>
      <c r="F87" s="7">
        <f t="shared" ref="F87:G87" si="104">+1400</f>
        <v>1400</v>
      </c>
      <c r="G87" s="7">
        <f t="shared" si="104"/>
        <v>1400</v>
      </c>
      <c r="H87" s="7">
        <f>+2500</f>
        <v>2500</v>
      </c>
      <c r="I87" s="7">
        <f>+4000</f>
        <v>4000</v>
      </c>
      <c r="J87" s="7">
        <f>+2800</f>
        <v>2800</v>
      </c>
      <c r="K87" s="7">
        <f>+1200</f>
        <v>1200</v>
      </c>
      <c r="L87" s="7"/>
      <c r="M87" s="7"/>
    </row>
    <row r="88">
      <c r="A88" s="1" t="s">
        <v>89</v>
      </c>
      <c r="B88" s="1" t="s">
        <v>463</v>
      </c>
      <c r="C88" s="2" t="s">
        <v>546</v>
      </c>
      <c r="D88" s="7">
        <f>+275</f>
        <v>275</v>
      </c>
      <c r="E88" s="7"/>
      <c r="F88" s="7">
        <f>+350</f>
        <v>350</v>
      </c>
      <c r="G88" s="7">
        <f>+333</f>
        <v>333</v>
      </c>
      <c r="H88" s="7">
        <f>+2000</f>
        <v>2000</v>
      </c>
      <c r="I88" s="7">
        <f>+2500</f>
        <v>2500</v>
      </c>
      <c r="J88" s="7">
        <f t="shared" ref="J88:K88" si="105">+5000</f>
        <v>5000</v>
      </c>
      <c r="K88" s="7">
        <f t="shared" si="105"/>
        <v>5000</v>
      </c>
      <c r="L88" s="7"/>
      <c r="M88" s="7"/>
    </row>
    <row r="89">
      <c r="A89" s="1" t="s">
        <v>89</v>
      </c>
      <c r="B89" s="1" t="s">
        <v>463</v>
      </c>
      <c r="C89" s="2" t="s">
        <v>547</v>
      </c>
      <c r="D89" s="7">
        <f>+1400</f>
        <v>1400</v>
      </c>
      <c r="E89" s="7"/>
      <c r="F89" s="7">
        <f>+700</f>
        <v>700</v>
      </c>
      <c r="G89" s="7">
        <f>+2000</f>
        <v>2000</v>
      </c>
      <c r="H89" s="7">
        <f>+500</f>
        <v>500</v>
      </c>
      <c r="I89" s="7">
        <f>+1000</f>
        <v>1000</v>
      </c>
      <c r="J89" s="7"/>
      <c r="K89" s="7">
        <f>+5000</f>
        <v>5000</v>
      </c>
      <c r="L89" s="7"/>
      <c r="M89" s="7"/>
    </row>
    <row r="90">
      <c r="A90" s="1" t="s">
        <v>89</v>
      </c>
      <c r="B90" s="1" t="s">
        <v>463</v>
      </c>
      <c r="C90" s="2" t="s">
        <v>548</v>
      </c>
      <c r="D90" s="7">
        <f>+10000</f>
        <v>10000</v>
      </c>
      <c r="E90" s="7"/>
      <c r="F90" s="7">
        <f t="shared" ref="F90:G90" si="106">+10000</f>
        <v>10000</v>
      </c>
      <c r="G90" s="7">
        <f t="shared" si="106"/>
        <v>10000</v>
      </c>
      <c r="H90" s="7">
        <f>+15000</f>
        <v>15000</v>
      </c>
      <c r="I90" s="7">
        <f>+6600</f>
        <v>6600</v>
      </c>
      <c r="J90" s="7">
        <f>+15000</f>
        <v>15000</v>
      </c>
      <c r="K90" s="7">
        <f>+50000</f>
        <v>50000</v>
      </c>
      <c r="L90" s="7"/>
      <c r="M90" s="7"/>
    </row>
    <row r="91">
      <c r="A91" s="1" t="s">
        <v>89</v>
      </c>
      <c r="B91" s="1" t="s">
        <v>463</v>
      </c>
      <c r="C91" s="2" t="s">
        <v>549</v>
      </c>
      <c r="D91" s="7">
        <f t="shared" ref="D91:D92" si="108">+5000</f>
        <v>5000</v>
      </c>
      <c r="E91" s="7"/>
      <c r="F91" s="7">
        <f>+1600</f>
        <v>1600</v>
      </c>
      <c r="G91" s="7">
        <f>+2000</f>
        <v>2000</v>
      </c>
      <c r="H91" s="7">
        <f t="shared" ref="H91:I91" si="107">+10000</f>
        <v>10000</v>
      </c>
      <c r="I91" s="7">
        <f t="shared" si="107"/>
        <v>10000</v>
      </c>
      <c r="J91" s="7">
        <f>+30000</f>
        <v>30000</v>
      </c>
      <c r="K91" s="7"/>
      <c r="L91" s="7"/>
      <c r="M91" s="7"/>
    </row>
    <row r="92">
      <c r="A92" s="1" t="s">
        <v>89</v>
      </c>
      <c r="B92" s="1" t="s">
        <v>463</v>
      </c>
      <c r="C92" s="2" t="s">
        <v>550</v>
      </c>
      <c r="D92" s="7">
        <f t="shared" si="108"/>
        <v>5000</v>
      </c>
      <c r="E92" s="7"/>
      <c r="F92" s="7">
        <f>+10000</f>
        <v>10000</v>
      </c>
      <c r="G92" s="7">
        <f>+12500</f>
        <v>12500</v>
      </c>
      <c r="H92" s="7">
        <f>+25000</f>
        <v>25000</v>
      </c>
      <c r="I92" s="7">
        <f>+40000</f>
        <v>40000</v>
      </c>
      <c r="J92" s="7">
        <f>+50000</f>
        <v>50000</v>
      </c>
      <c r="K92" s="7"/>
      <c r="L92" s="7"/>
      <c r="M92" s="7"/>
    </row>
    <row r="93">
      <c r="A93" s="1" t="s">
        <v>89</v>
      </c>
      <c r="B93" s="1" t="s">
        <v>463</v>
      </c>
      <c r="C93" s="2" t="s">
        <v>551</v>
      </c>
      <c r="D93" s="7"/>
      <c r="E93" s="7"/>
      <c r="F93" s="7">
        <f t="shared" ref="F93:H93" si="109">+25000</f>
        <v>25000</v>
      </c>
      <c r="G93" s="7">
        <f t="shared" si="109"/>
        <v>25000</v>
      </c>
      <c r="H93" s="7">
        <f t="shared" si="109"/>
        <v>25000</v>
      </c>
      <c r="I93" s="7">
        <f t="shared" ref="I93:I94" si="110">+50000</f>
        <v>50000</v>
      </c>
      <c r="J93" s="7"/>
      <c r="K93" s="7"/>
      <c r="L93" s="7"/>
      <c r="M93" s="7"/>
    </row>
    <row r="94">
      <c r="A94" s="1" t="s">
        <v>89</v>
      </c>
      <c r="B94" s="1" t="s">
        <v>463</v>
      </c>
      <c r="C94" s="2" t="s">
        <v>552</v>
      </c>
      <c r="D94" s="7">
        <f>+20000</f>
        <v>20000</v>
      </c>
      <c r="E94" s="7"/>
      <c r="F94" s="7">
        <f>+8000</f>
        <v>8000</v>
      </c>
      <c r="G94" s="7">
        <f>+12500</f>
        <v>12500</v>
      </c>
      <c r="H94" s="7"/>
      <c r="I94" s="7">
        <f t="shared" si="110"/>
        <v>50000</v>
      </c>
      <c r="J94" s="7"/>
      <c r="K94" s="7"/>
      <c r="L94" s="7"/>
      <c r="M94" s="7"/>
    </row>
    <row r="95">
      <c r="A95" s="1" t="s">
        <v>89</v>
      </c>
      <c r="B95" s="1" t="s">
        <v>463</v>
      </c>
      <c r="C95" s="2" t="s">
        <v>553</v>
      </c>
      <c r="D95" s="7">
        <f>+50000</f>
        <v>50000</v>
      </c>
      <c r="E95" s="7"/>
      <c r="F95" s="7">
        <f t="shared" ref="F95:G95" si="111">+25000</f>
        <v>25000</v>
      </c>
      <c r="G95" s="7">
        <f t="shared" si="111"/>
        <v>25000</v>
      </c>
      <c r="H95" s="7">
        <f>+50000</f>
        <v>50000</v>
      </c>
      <c r="I95" s="7">
        <f>+100000</f>
        <v>100000</v>
      </c>
      <c r="J95" s="7"/>
      <c r="K95" s="7"/>
      <c r="L95" s="7"/>
      <c r="M95" s="7"/>
    </row>
    <row r="96">
      <c r="A96" s="1" t="s">
        <v>89</v>
      </c>
      <c r="B96" s="1" t="s">
        <v>463</v>
      </c>
      <c r="C96" s="2" t="s">
        <v>554</v>
      </c>
      <c r="D96" s="7">
        <f>+25000</f>
        <v>25000</v>
      </c>
      <c r="E96" s="7"/>
      <c r="F96" s="7">
        <f t="shared" ref="F96:G96" si="112">+20000</f>
        <v>20000</v>
      </c>
      <c r="G96" s="7">
        <f t="shared" si="112"/>
        <v>20000</v>
      </c>
      <c r="H96" s="7"/>
      <c r="I96" s="7"/>
      <c r="J96" s="7"/>
      <c r="K96" s="7"/>
      <c r="L96" s="7"/>
      <c r="M96" s="7"/>
    </row>
    <row r="97">
      <c r="A97" s="1" t="s">
        <v>89</v>
      </c>
      <c r="B97" s="1" t="s">
        <v>463</v>
      </c>
      <c r="C97" s="2" t="s">
        <v>555</v>
      </c>
      <c r="D97" s="7">
        <f>+100000</f>
        <v>100000</v>
      </c>
      <c r="E97" s="7"/>
      <c r="F97" s="7">
        <f t="shared" ref="F97:G97" si="113">+20000</f>
        <v>20000</v>
      </c>
      <c r="G97" s="7">
        <f t="shared" si="113"/>
        <v>20000</v>
      </c>
      <c r="H97" s="7"/>
      <c r="I97" s="7"/>
      <c r="J97" s="7"/>
      <c r="K97" s="7"/>
      <c r="L97" s="7"/>
      <c r="M97" s="7"/>
    </row>
    <row r="98">
      <c r="A98" s="1" t="s">
        <v>89</v>
      </c>
      <c r="B98" s="1" t="s">
        <v>463</v>
      </c>
      <c r="C98" s="2" t="s">
        <v>556</v>
      </c>
      <c r="D98" s="7">
        <f>+50000</f>
        <v>50000</v>
      </c>
      <c r="E98" s="7"/>
      <c r="F98" s="7">
        <f>+20000</f>
        <v>20000</v>
      </c>
      <c r="G98" s="7">
        <f>+25000</f>
        <v>25000</v>
      </c>
      <c r="H98" s="7"/>
      <c r="I98" s="7"/>
      <c r="J98" s="7"/>
      <c r="K98" s="7"/>
      <c r="L98" s="7"/>
      <c r="M98" s="7"/>
    </row>
    <row r="99">
      <c r="A99" s="1" t="s">
        <v>89</v>
      </c>
      <c r="B99" s="1" t="s">
        <v>463</v>
      </c>
      <c r="C99" s="2" t="s">
        <v>557</v>
      </c>
      <c r="D99" s="7">
        <f>+100000</f>
        <v>100000</v>
      </c>
      <c r="E99" s="7"/>
      <c r="F99" s="7">
        <f t="shared" ref="F99:G99" si="114">+50000</f>
        <v>50000</v>
      </c>
      <c r="G99" s="7">
        <f t="shared" si="114"/>
        <v>50000</v>
      </c>
      <c r="H99" s="7"/>
      <c r="I99" s="7"/>
      <c r="J99" s="7"/>
      <c r="K99" s="7"/>
      <c r="L99" s="7"/>
      <c r="M99" s="7"/>
    </row>
    <row r="100">
      <c r="A100" s="1" t="s">
        <v>89</v>
      </c>
      <c r="B100" s="1" t="s">
        <v>463</v>
      </c>
      <c r="C100" s="2" t="s">
        <v>558</v>
      </c>
      <c r="D100" s="7">
        <f>+50000</f>
        <v>50000</v>
      </c>
      <c r="E100" s="7"/>
      <c r="F100" s="7">
        <f t="shared" ref="F100:G100" si="115">+100000</f>
        <v>100000</v>
      </c>
      <c r="G100" s="7">
        <f t="shared" si="115"/>
        <v>100000</v>
      </c>
      <c r="H100" s="7"/>
      <c r="I100" s="7"/>
      <c r="J100" s="7"/>
      <c r="K100" s="7"/>
      <c r="L100" s="7"/>
      <c r="M100" s="7"/>
    </row>
    <row r="101">
      <c r="A101" s="1" t="s">
        <v>89</v>
      </c>
      <c r="B101" s="1" t="s">
        <v>463</v>
      </c>
      <c r="C101" s="2" t="s">
        <v>559</v>
      </c>
      <c r="D101" s="7">
        <f>+200000</f>
        <v>200000</v>
      </c>
      <c r="E101" s="7"/>
      <c r="F101" s="7">
        <f t="shared" ref="F101:G101" si="116">+100000</f>
        <v>100000</v>
      </c>
      <c r="G101" s="7">
        <f t="shared" si="116"/>
        <v>100000</v>
      </c>
      <c r="H101" s="7"/>
      <c r="I101" s="7"/>
      <c r="J101" s="7"/>
      <c r="K101" s="7"/>
      <c r="L101" s="7"/>
      <c r="M101" s="7"/>
    </row>
    <row r="102">
      <c r="A102" s="1" t="s">
        <v>89</v>
      </c>
      <c r="B102" s="1" t="s">
        <v>463</v>
      </c>
      <c r="C102" s="2" t="s">
        <v>560</v>
      </c>
      <c r="D102" s="7">
        <f>+50000</f>
        <v>50000</v>
      </c>
      <c r="E102" s="7"/>
      <c r="F102" s="7">
        <f t="shared" ref="F102:G102" si="117">+150000</f>
        <v>150000</v>
      </c>
      <c r="G102" s="7">
        <f t="shared" si="117"/>
        <v>150000</v>
      </c>
      <c r="H102" s="7"/>
      <c r="I102" s="7"/>
      <c r="J102" s="7"/>
      <c r="K102" s="7"/>
      <c r="L102" s="7"/>
      <c r="M102" s="7"/>
    </row>
    <row r="103">
      <c r="A103" s="1" t="s">
        <v>89</v>
      </c>
      <c r="B103" s="1" t="s">
        <v>463</v>
      </c>
      <c r="C103" s="2" t="s">
        <v>561</v>
      </c>
      <c r="D103" s="7">
        <f>+200000</f>
        <v>200000</v>
      </c>
      <c r="E103" s="7"/>
      <c r="F103" s="7">
        <f t="shared" ref="F103:G103" si="118">+150000</f>
        <v>150000</v>
      </c>
      <c r="G103" s="7">
        <f t="shared" si="118"/>
        <v>150000</v>
      </c>
      <c r="H103" s="7"/>
      <c r="I103" s="7"/>
      <c r="J103" s="7"/>
      <c r="K103" s="7"/>
      <c r="L103" s="7"/>
      <c r="M103" s="7"/>
    </row>
    <row r="104">
      <c r="A104" s="1" t="s">
        <v>89</v>
      </c>
      <c r="B104" s="1" t="s">
        <v>463</v>
      </c>
      <c r="C104" s="2" t="s">
        <v>562</v>
      </c>
      <c r="D104" s="7">
        <f>+100000</f>
        <v>100000</v>
      </c>
      <c r="E104" s="7"/>
      <c r="F104" s="7">
        <f t="shared" ref="F104:G104" si="119">+200000</f>
        <v>200000</v>
      </c>
      <c r="G104" s="7">
        <f t="shared" si="119"/>
        <v>200000</v>
      </c>
      <c r="H104" s="7"/>
      <c r="I104" s="7"/>
      <c r="J104" s="7"/>
      <c r="K104" s="7"/>
      <c r="L104" s="7"/>
      <c r="M104" s="7"/>
    </row>
    <row r="105">
      <c r="A105" s="1" t="s">
        <v>89</v>
      </c>
      <c r="B105" s="1" t="s">
        <v>463</v>
      </c>
      <c r="C105" s="2" t="s">
        <v>563</v>
      </c>
      <c r="D105" s="7">
        <f>+200000</f>
        <v>200000</v>
      </c>
      <c r="E105" s="7"/>
      <c r="F105" s="7">
        <f t="shared" ref="F105:G105" si="120">+200000</f>
        <v>200000</v>
      </c>
      <c r="G105" s="7">
        <f t="shared" si="120"/>
        <v>200000</v>
      </c>
      <c r="H105" s="7"/>
    </row>
    <row r="106">
      <c r="C106" s="3" t="s">
        <v>2</v>
      </c>
      <c r="D106" s="4">
        <v>45911.0</v>
      </c>
      <c r="E106" s="4">
        <v>45931.0</v>
      </c>
      <c r="F106" s="4">
        <v>45962.0</v>
      </c>
      <c r="G106" s="4">
        <v>45992.0</v>
      </c>
      <c r="H106" s="4">
        <v>45658.0</v>
      </c>
      <c r="I106" s="4">
        <v>45689.0</v>
      </c>
      <c r="J106" s="4">
        <v>45717.0</v>
      </c>
      <c r="K106" s="4">
        <v>45748.0</v>
      </c>
      <c r="L106" s="5">
        <v>45778.0</v>
      </c>
      <c r="M106" s="6"/>
    </row>
    <row r="107">
      <c r="A107" s="1" t="s">
        <v>110</v>
      </c>
      <c r="B107" s="1" t="s">
        <v>463</v>
      </c>
      <c r="C107" s="2" t="s">
        <v>564</v>
      </c>
      <c r="D107" s="7">
        <f>+800</f>
        <v>800</v>
      </c>
      <c r="E107" s="7">
        <f>+600</f>
        <v>600</v>
      </c>
      <c r="F107" s="7">
        <f>+500</f>
        <v>500</v>
      </c>
      <c r="G107" s="7"/>
      <c r="H107" s="7"/>
      <c r="I107" s="7"/>
      <c r="J107" s="7"/>
      <c r="K107" s="7"/>
      <c r="L107" s="7"/>
      <c r="M107" s="8" t="s">
        <v>27</v>
      </c>
    </row>
    <row r="108">
      <c r="A108" s="1" t="s">
        <v>110</v>
      </c>
      <c r="B108" s="1" t="s">
        <v>463</v>
      </c>
      <c r="C108" s="2" t="s">
        <v>565</v>
      </c>
      <c r="D108" s="8">
        <v>-143.0</v>
      </c>
      <c r="E108" s="7">
        <f>+110</f>
        <v>110</v>
      </c>
      <c r="F108" s="7">
        <f>+125</f>
        <v>125</v>
      </c>
      <c r="G108" s="7"/>
      <c r="H108" s="7"/>
      <c r="I108" s="7"/>
      <c r="J108" s="7"/>
      <c r="K108" s="7"/>
      <c r="L108" s="7"/>
      <c r="M108" s="7"/>
    </row>
    <row r="109">
      <c r="A109" s="1" t="s">
        <v>110</v>
      </c>
      <c r="B109" s="1" t="s">
        <v>463</v>
      </c>
      <c r="C109" s="2" t="s">
        <v>566</v>
      </c>
      <c r="D109" s="7">
        <f>+160</f>
        <v>160</v>
      </c>
      <c r="E109" s="7">
        <f>+140</f>
        <v>140</v>
      </c>
      <c r="F109" s="7">
        <f>+160</f>
        <v>160</v>
      </c>
      <c r="G109" s="7"/>
      <c r="H109" s="7"/>
      <c r="I109" s="7"/>
      <c r="J109" s="7"/>
      <c r="K109" s="7"/>
      <c r="L109" s="7"/>
      <c r="M109" s="7"/>
    </row>
    <row r="110">
      <c r="A110" s="1" t="s">
        <v>110</v>
      </c>
      <c r="B110" s="1" t="s">
        <v>463</v>
      </c>
      <c r="C110" s="2" t="s">
        <v>567</v>
      </c>
      <c r="D110" s="7">
        <f>+2800</f>
        <v>2800</v>
      </c>
      <c r="E110" s="7">
        <f t="shared" ref="E110:F110" si="121">+2500</f>
        <v>2500</v>
      </c>
      <c r="F110" s="7">
        <f t="shared" si="121"/>
        <v>2500</v>
      </c>
      <c r="G110" s="7"/>
      <c r="H110" s="7"/>
      <c r="I110" s="7"/>
      <c r="J110" s="7"/>
      <c r="K110" s="7"/>
      <c r="L110" s="7"/>
      <c r="M110" s="7"/>
    </row>
    <row r="111">
      <c r="A111" s="1" t="s">
        <v>110</v>
      </c>
      <c r="B111" s="1" t="s">
        <v>463</v>
      </c>
      <c r="C111" s="2" t="s">
        <v>568</v>
      </c>
      <c r="D111" s="7">
        <f t="shared" ref="D111:D112" si="122">+20000</f>
        <v>20000</v>
      </c>
      <c r="E111" s="7">
        <f>+15000</f>
        <v>15000</v>
      </c>
      <c r="F111" s="7">
        <f>+4000</f>
        <v>4000</v>
      </c>
      <c r="G111" s="7"/>
      <c r="H111" s="7"/>
      <c r="I111" s="7"/>
      <c r="J111" s="7"/>
      <c r="K111" s="7"/>
      <c r="L111" s="7"/>
      <c r="M111" s="7"/>
    </row>
    <row r="112">
      <c r="A112" s="1" t="s">
        <v>110</v>
      </c>
      <c r="B112" s="1" t="s">
        <v>463</v>
      </c>
      <c r="C112" s="2" t="s">
        <v>569</v>
      </c>
      <c r="D112" s="7">
        <f t="shared" si="122"/>
        <v>20000</v>
      </c>
      <c r="E112" s="7">
        <f>+8000</f>
        <v>8000</v>
      </c>
      <c r="F112" s="7">
        <f>+5000</f>
        <v>5000</v>
      </c>
      <c r="G112" s="7"/>
      <c r="H112" s="7"/>
      <c r="I112" s="7"/>
      <c r="J112" s="7"/>
      <c r="K112" s="7"/>
      <c r="L112" s="7"/>
      <c r="M112" s="7"/>
    </row>
    <row r="113">
      <c r="A113" s="1" t="s">
        <v>110</v>
      </c>
      <c r="B113" s="1" t="s">
        <v>463</v>
      </c>
      <c r="C113" s="2" t="s">
        <v>570</v>
      </c>
      <c r="D113" s="7">
        <f>+50000</f>
        <v>50000</v>
      </c>
      <c r="E113" s="7">
        <f>+10000</f>
        <v>10000</v>
      </c>
      <c r="F113" s="7">
        <f>+6000</f>
        <v>6000</v>
      </c>
      <c r="G113" s="7"/>
      <c r="H113" s="7"/>
      <c r="I113" s="7"/>
      <c r="J113" s="7"/>
      <c r="K113" s="7"/>
      <c r="L113" s="7"/>
      <c r="M113" s="7"/>
    </row>
    <row r="114">
      <c r="A114" s="1" t="s">
        <v>110</v>
      </c>
      <c r="B114" s="1" t="s">
        <v>463</v>
      </c>
      <c r="C114" s="2" t="s">
        <v>571</v>
      </c>
      <c r="D114" s="7">
        <f t="shared" ref="D114:E114" si="123">+25000</f>
        <v>25000</v>
      </c>
      <c r="E114" s="7">
        <f t="shared" si="123"/>
        <v>25000</v>
      </c>
      <c r="F114" s="7">
        <f>+15000</f>
        <v>15000</v>
      </c>
      <c r="G114" s="7"/>
      <c r="H114" s="7"/>
      <c r="I114" s="7"/>
      <c r="J114" s="7"/>
      <c r="K114" s="7"/>
      <c r="L114" s="7"/>
      <c r="M114" s="7"/>
    </row>
    <row r="115">
      <c r="A115" s="1" t="s">
        <v>110</v>
      </c>
      <c r="B115" s="1" t="s">
        <v>463</v>
      </c>
      <c r="C115" s="2" t="s">
        <v>572</v>
      </c>
      <c r="D115" s="7">
        <f>+25000</f>
        <v>25000</v>
      </c>
      <c r="E115" s="7">
        <f>+15000</f>
        <v>15000</v>
      </c>
      <c r="F115" s="7">
        <f>+25000</f>
        <v>25000</v>
      </c>
      <c r="G115" s="7"/>
      <c r="H115" s="7"/>
      <c r="I115" s="7"/>
      <c r="J115" s="7"/>
      <c r="K115" s="7"/>
      <c r="L115" s="7"/>
      <c r="M115" s="7"/>
    </row>
    <row r="116">
      <c r="A116" s="1" t="s">
        <v>110</v>
      </c>
      <c r="B116" s="1" t="s">
        <v>463</v>
      </c>
      <c r="C116" s="2" t="s">
        <v>573</v>
      </c>
      <c r="D116" s="7">
        <f>+20000</f>
        <v>20000</v>
      </c>
      <c r="E116" s="7">
        <f>+25000</f>
        <v>25000</v>
      </c>
      <c r="F116" s="7">
        <f>+50000</f>
        <v>50000</v>
      </c>
      <c r="G116" s="7"/>
      <c r="H116" s="7"/>
      <c r="I116" s="7"/>
      <c r="J116" s="7"/>
      <c r="K116" s="7"/>
      <c r="L116" s="7"/>
      <c r="M116" s="7"/>
    </row>
    <row r="117">
      <c r="A117" s="1" t="s">
        <v>110</v>
      </c>
      <c r="B117" s="1" t="s">
        <v>463</v>
      </c>
      <c r="C117" s="2" t="s">
        <v>574</v>
      </c>
      <c r="D117" s="7">
        <f t="shared" ref="D117:E117" si="124">+50000</f>
        <v>50000</v>
      </c>
      <c r="E117" s="7">
        <f t="shared" si="124"/>
        <v>50000</v>
      </c>
      <c r="F117" s="7">
        <f>+75000</f>
        <v>75000</v>
      </c>
      <c r="G117" s="7"/>
      <c r="H117" s="7"/>
      <c r="I117" s="7"/>
      <c r="J117" s="7"/>
      <c r="K117" s="7"/>
      <c r="L117" s="7"/>
      <c r="M117" s="7"/>
    </row>
    <row r="118">
      <c r="A118" s="1" t="s">
        <v>110</v>
      </c>
      <c r="B118" s="1" t="s">
        <v>463</v>
      </c>
      <c r="C118" s="2" t="s">
        <v>575</v>
      </c>
      <c r="D118" s="7">
        <f t="shared" ref="D118:F118" si="125">+100000</f>
        <v>100000</v>
      </c>
      <c r="E118" s="7">
        <f t="shared" si="125"/>
        <v>100000</v>
      </c>
      <c r="F118" s="7">
        <f t="shared" si="125"/>
        <v>100000</v>
      </c>
      <c r="G118" s="7"/>
      <c r="H118" s="7"/>
      <c r="I118" s="7"/>
      <c r="J118" s="7"/>
      <c r="K118" s="7"/>
      <c r="L118" s="7"/>
      <c r="M118" s="7"/>
    </row>
    <row r="119">
      <c r="A119" s="1" t="s">
        <v>110</v>
      </c>
      <c r="B119" s="1" t="s">
        <v>463</v>
      </c>
      <c r="C119" s="2" t="s">
        <v>576</v>
      </c>
      <c r="D119" s="7">
        <f t="shared" ref="D119:F119" si="126">+100000</f>
        <v>100000</v>
      </c>
      <c r="E119" s="7">
        <f t="shared" si="126"/>
        <v>100000</v>
      </c>
      <c r="F119" s="7">
        <f t="shared" si="126"/>
        <v>100000</v>
      </c>
      <c r="G119" s="7"/>
      <c r="H119" s="7"/>
      <c r="I119" s="7"/>
      <c r="J119" s="7"/>
      <c r="K119" s="7"/>
      <c r="L119" s="7"/>
      <c r="M119" s="7"/>
    </row>
    <row r="120">
      <c r="A120" s="1" t="s">
        <v>110</v>
      </c>
      <c r="B120" s="1" t="s">
        <v>463</v>
      </c>
      <c r="C120" s="2" t="s">
        <v>577</v>
      </c>
      <c r="D120" s="7">
        <f t="shared" ref="D120:F120" si="127">+100000</f>
        <v>100000</v>
      </c>
      <c r="E120" s="7">
        <f t="shared" si="127"/>
        <v>100000</v>
      </c>
      <c r="F120" s="7">
        <f t="shared" si="127"/>
        <v>100000</v>
      </c>
      <c r="G120" s="7"/>
      <c r="H120" s="7"/>
      <c r="I120" s="7"/>
      <c r="J120" s="7"/>
      <c r="K120" s="7"/>
      <c r="L120" s="7"/>
      <c r="M120" s="7"/>
    </row>
    <row r="121">
      <c r="A121" s="1" t="s">
        <v>110</v>
      </c>
      <c r="B121" s="1" t="s">
        <v>463</v>
      </c>
      <c r="C121" s="2" t="s">
        <v>578</v>
      </c>
      <c r="D121" s="7">
        <f t="shared" ref="D121:E121" si="128">+100000</f>
        <v>100000</v>
      </c>
      <c r="E121" s="7">
        <f t="shared" si="128"/>
        <v>100000</v>
      </c>
      <c r="F121" s="7">
        <f t="shared" ref="F121:F124" si="130">+150000</f>
        <v>150000</v>
      </c>
      <c r="G121" s="7"/>
      <c r="H121" s="7"/>
      <c r="I121" s="7"/>
      <c r="J121" s="7"/>
      <c r="K121" s="7"/>
      <c r="L121" s="7"/>
      <c r="M121" s="7"/>
    </row>
    <row r="122">
      <c r="A122" s="1" t="s">
        <v>110</v>
      </c>
      <c r="B122" s="1" t="s">
        <v>463</v>
      </c>
      <c r="C122" s="2" t="s">
        <v>579</v>
      </c>
      <c r="D122" s="7">
        <f t="shared" ref="D122:E122" si="129">+100000</f>
        <v>100000</v>
      </c>
      <c r="E122" s="7">
        <f t="shared" si="129"/>
        <v>100000</v>
      </c>
      <c r="F122" s="7">
        <f t="shared" si="130"/>
        <v>150000</v>
      </c>
      <c r="G122" s="7"/>
      <c r="H122" s="7"/>
      <c r="I122" s="7"/>
      <c r="J122" s="7"/>
      <c r="K122" s="7"/>
      <c r="L122" s="7"/>
      <c r="M122" s="7"/>
    </row>
    <row r="123">
      <c r="A123" s="1" t="s">
        <v>110</v>
      </c>
      <c r="B123" s="1" t="s">
        <v>463</v>
      </c>
      <c r="C123" s="2" t="s">
        <v>580</v>
      </c>
      <c r="D123" s="7">
        <f t="shared" ref="D123:E123" si="131">+100000</f>
        <v>100000</v>
      </c>
      <c r="E123" s="7">
        <f t="shared" si="131"/>
        <v>100000</v>
      </c>
      <c r="F123" s="7">
        <f t="shared" si="130"/>
        <v>150000</v>
      </c>
      <c r="G123" s="7"/>
      <c r="H123" s="7"/>
      <c r="I123" s="7"/>
      <c r="J123" s="7"/>
      <c r="K123" s="7"/>
      <c r="L123" s="7"/>
      <c r="M123" s="7"/>
    </row>
    <row r="124">
      <c r="A124" s="1" t="s">
        <v>110</v>
      </c>
      <c r="B124" s="1" t="s">
        <v>463</v>
      </c>
      <c r="C124" s="2" t="s">
        <v>581</v>
      </c>
      <c r="D124" s="7">
        <f t="shared" ref="D124:D126" si="132">+100000</f>
        <v>100000</v>
      </c>
      <c r="E124" s="7">
        <f t="shared" ref="E124:E126" si="133">+200000</f>
        <v>200000</v>
      </c>
      <c r="F124" s="7">
        <f t="shared" si="130"/>
        <v>150000</v>
      </c>
      <c r="G124" s="7"/>
      <c r="H124" s="7"/>
      <c r="I124" s="7"/>
      <c r="J124" s="7"/>
      <c r="K124" s="7"/>
      <c r="L124" s="7"/>
      <c r="M124" s="7"/>
    </row>
    <row r="125">
      <c r="A125" s="1" t="s">
        <v>110</v>
      </c>
      <c r="B125" s="1" t="s">
        <v>463</v>
      </c>
      <c r="C125" s="2" t="s">
        <v>582</v>
      </c>
      <c r="D125" s="7">
        <f t="shared" si="132"/>
        <v>100000</v>
      </c>
      <c r="E125" s="7">
        <f t="shared" si="133"/>
        <v>200000</v>
      </c>
      <c r="F125" s="7">
        <f>+200000</f>
        <v>200000</v>
      </c>
      <c r="G125" s="7"/>
      <c r="H125" s="7"/>
      <c r="I125" s="7"/>
      <c r="J125" s="7"/>
      <c r="K125" s="7"/>
      <c r="L125" s="7"/>
      <c r="M125" s="7"/>
    </row>
    <row r="126">
      <c r="A126" s="1" t="s">
        <v>110</v>
      </c>
      <c r="B126" s="1" t="s">
        <v>463</v>
      </c>
      <c r="C126" s="2" t="s">
        <v>583</v>
      </c>
      <c r="D126" s="7">
        <f t="shared" si="132"/>
        <v>100000</v>
      </c>
      <c r="E126" s="7">
        <f t="shared" si="133"/>
        <v>200000</v>
      </c>
      <c r="F126" s="7">
        <f>+250000</f>
        <v>250000</v>
      </c>
      <c r="G126" s="7"/>
    </row>
  </sheetData>
  <hyperlinks>
    <hyperlink r:id="rId1" ref="D1"/>
    <hyperlink r:id="rId2" ref="E1"/>
    <hyperlink r:id="rId3" ref="F1"/>
    <hyperlink r:id="rId4" ref="G1"/>
    <hyperlink r:id="rId5" ref="H1"/>
    <hyperlink r:id="rId6" ref="I1"/>
    <hyperlink r:id="rId7" ref="J1"/>
    <hyperlink r:id="rId8" ref="K1"/>
    <hyperlink r:id="rId9" ref="L1"/>
    <hyperlink r:id="rId10" ref="C2"/>
    <hyperlink r:id="rId11" ref="C3"/>
    <hyperlink r:id="rId12" ref="C4"/>
    <hyperlink r:id="rId13" ref="C5"/>
    <hyperlink r:id="rId14" ref="C6"/>
    <hyperlink r:id="rId15" ref="C7"/>
    <hyperlink r:id="rId16" ref="C8"/>
    <hyperlink r:id="rId17" ref="C9"/>
    <hyperlink r:id="rId18" ref="C10"/>
    <hyperlink r:id="rId19" ref="C11"/>
    <hyperlink r:id="rId20" ref="C12"/>
    <hyperlink r:id="rId21" ref="C13"/>
    <hyperlink r:id="rId22" ref="C14"/>
    <hyperlink r:id="rId23" ref="C15"/>
    <hyperlink r:id="rId24" ref="C16"/>
    <hyperlink r:id="rId25" ref="C17"/>
    <hyperlink r:id="rId26" ref="C18"/>
    <hyperlink r:id="rId27" ref="C19"/>
    <hyperlink r:id="rId28" ref="C20"/>
    <hyperlink r:id="rId29" ref="C21"/>
    <hyperlink r:id="rId30" ref="D22"/>
    <hyperlink r:id="rId31" ref="E22"/>
    <hyperlink r:id="rId32" ref="F22"/>
    <hyperlink r:id="rId33" ref="G22"/>
    <hyperlink r:id="rId34" ref="H22"/>
    <hyperlink r:id="rId35" ref="I22"/>
    <hyperlink r:id="rId36" ref="J22"/>
    <hyperlink r:id="rId37" ref="K22"/>
    <hyperlink r:id="rId38" ref="L22"/>
    <hyperlink r:id="rId39" ref="M22"/>
    <hyperlink r:id="rId40" ref="C23"/>
    <hyperlink r:id="rId41" ref="C24"/>
    <hyperlink r:id="rId42" ref="C25"/>
    <hyperlink r:id="rId43" ref="C26"/>
    <hyperlink r:id="rId44" ref="C27"/>
    <hyperlink r:id="rId45" ref="C28"/>
    <hyperlink r:id="rId46" ref="C29"/>
    <hyperlink r:id="rId47" ref="C30"/>
    <hyperlink r:id="rId48" ref="C31"/>
    <hyperlink r:id="rId49" ref="C32"/>
    <hyperlink r:id="rId50" ref="C33"/>
    <hyperlink r:id="rId51" ref="C34"/>
    <hyperlink r:id="rId52" ref="C35"/>
    <hyperlink r:id="rId53" ref="C36"/>
    <hyperlink r:id="rId54" ref="C37"/>
    <hyperlink r:id="rId55" ref="C38"/>
    <hyperlink r:id="rId56" ref="C39"/>
    <hyperlink r:id="rId57" ref="C40"/>
    <hyperlink r:id="rId58" ref="C41"/>
    <hyperlink r:id="rId59" ref="C42"/>
    <hyperlink r:id="rId60" ref="D43"/>
    <hyperlink r:id="rId61" ref="E43"/>
    <hyperlink r:id="rId62" ref="F43"/>
    <hyperlink r:id="rId63" ref="G43"/>
    <hyperlink r:id="rId64" ref="H43"/>
    <hyperlink r:id="rId65" ref="I43"/>
    <hyperlink r:id="rId66" ref="J43"/>
    <hyperlink r:id="rId67" ref="K43"/>
    <hyperlink r:id="rId68" ref="L43"/>
    <hyperlink r:id="rId69" ref="M43"/>
    <hyperlink r:id="rId70" ref="C44"/>
    <hyperlink r:id="rId71" ref="C45"/>
    <hyperlink r:id="rId72" ref="C46"/>
    <hyperlink r:id="rId73" ref="C47"/>
    <hyperlink r:id="rId74" ref="C48"/>
    <hyperlink r:id="rId75" ref="C49"/>
    <hyperlink r:id="rId76" ref="C50"/>
    <hyperlink r:id="rId77" ref="C51"/>
    <hyperlink r:id="rId78" ref="C52"/>
    <hyperlink r:id="rId79" ref="C53"/>
    <hyperlink r:id="rId80" ref="C54"/>
    <hyperlink r:id="rId81" ref="C55"/>
    <hyperlink r:id="rId82" ref="C56"/>
    <hyperlink r:id="rId83" ref="C57"/>
    <hyperlink r:id="rId84" ref="C58"/>
    <hyperlink r:id="rId85" ref="C59"/>
    <hyperlink r:id="rId86" ref="C60"/>
    <hyperlink r:id="rId87" ref="C61"/>
    <hyperlink r:id="rId88" ref="C62"/>
    <hyperlink r:id="rId89" ref="C63"/>
    <hyperlink r:id="rId90" ref="D64"/>
    <hyperlink r:id="rId91" ref="E64"/>
    <hyperlink r:id="rId92" ref="F64"/>
    <hyperlink r:id="rId93" ref="G64"/>
    <hyperlink r:id="rId94" ref="H64"/>
    <hyperlink r:id="rId95" ref="I64"/>
    <hyperlink r:id="rId96" ref="J64"/>
    <hyperlink r:id="rId97" ref="K64"/>
    <hyperlink r:id="rId98" ref="L64"/>
    <hyperlink r:id="rId99" ref="M64"/>
    <hyperlink r:id="rId100" ref="C65"/>
    <hyperlink r:id="rId101" ref="C66"/>
    <hyperlink r:id="rId102" ref="C67"/>
    <hyperlink r:id="rId103" ref="C68"/>
    <hyperlink r:id="rId104" ref="C69"/>
    <hyperlink r:id="rId105" ref="C70"/>
    <hyperlink r:id="rId106" ref="C71"/>
    <hyperlink r:id="rId107" ref="C72"/>
    <hyperlink r:id="rId108" ref="C73"/>
    <hyperlink r:id="rId109" ref="C74"/>
    <hyperlink r:id="rId110" ref="C75"/>
    <hyperlink r:id="rId111" ref="C76"/>
    <hyperlink r:id="rId112" ref="C77"/>
    <hyperlink r:id="rId113" ref="C78"/>
    <hyperlink r:id="rId114" ref="C79"/>
    <hyperlink r:id="rId115" ref="C80"/>
    <hyperlink r:id="rId116" ref="C81"/>
    <hyperlink r:id="rId117" ref="C82"/>
    <hyperlink r:id="rId118" ref="C83"/>
    <hyperlink r:id="rId119" ref="C84"/>
    <hyperlink r:id="rId120" ref="D85"/>
    <hyperlink r:id="rId121" ref="E85"/>
    <hyperlink r:id="rId122" ref="F85"/>
    <hyperlink r:id="rId123" ref="G85"/>
    <hyperlink r:id="rId124" ref="H85"/>
    <hyperlink r:id="rId125" ref="I85"/>
    <hyperlink r:id="rId126" ref="J85"/>
    <hyperlink r:id="rId127" ref="K85"/>
    <hyperlink r:id="rId128" ref="L85"/>
    <hyperlink r:id="rId129" ref="C86"/>
    <hyperlink r:id="rId130" ref="C87"/>
    <hyperlink r:id="rId131" ref="C88"/>
    <hyperlink r:id="rId132" ref="C89"/>
    <hyperlink r:id="rId133" ref="C90"/>
    <hyperlink r:id="rId134" ref="C91"/>
    <hyperlink r:id="rId135" ref="C92"/>
    <hyperlink r:id="rId136" ref="C93"/>
    <hyperlink r:id="rId137" ref="C94"/>
    <hyperlink r:id="rId138" ref="C95"/>
    <hyperlink r:id="rId139" ref="C96"/>
    <hyperlink r:id="rId140" ref="C97"/>
    <hyperlink r:id="rId141" ref="C98"/>
    <hyperlink r:id="rId142" ref="C99"/>
    <hyperlink r:id="rId143" ref="C100"/>
    <hyperlink r:id="rId144" ref="C101"/>
    <hyperlink r:id="rId145" ref="C102"/>
    <hyperlink r:id="rId146" ref="C103"/>
    <hyperlink r:id="rId147" ref="C104"/>
    <hyperlink r:id="rId148" ref="C105"/>
    <hyperlink r:id="rId149" ref="D106"/>
    <hyperlink r:id="rId150" ref="E106"/>
    <hyperlink r:id="rId151" ref="F106"/>
    <hyperlink r:id="rId152" ref="G106"/>
    <hyperlink r:id="rId153" ref="H106"/>
    <hyperlink r:id="rId154" ref="I106"/>
    <hyperlink r:id="rId155" ref="J106"/>
    <hyperlink r:id="rId156" ref="K106"/>
    <hyperlink r:id="rId157" ref="L106"/>
    <hyperlink r:id="rId158" ref="C107"/>
    <hyperlink r:id="rId159" ref="C108"/>
    <hyperlink r:id="rId160" ref="C109"/>
    <hyperlink r:id="rId161" ref="C110"/>
    <hyperlink r:id="rId162" ref="C111"/>
    <hyperlink r:id="rId163" ref="C112"/>
    <hyperlink r:id="rId164" ref="C113"/>
    <hyperlink r:id="rId165" ref="C114"/>
    <hyperlink r:id="rId166" ref="C115"/>
    <hyperlink r:id="rId167" ref="C116"/>
    <hyperlink r:id="rId168" ref="C117"/>
    <hyperlink r:id="rId169" ref="C118"/>
    <hyperlink r:id="rId170" ref="C119"/>
    <hyperlink r:id="rId171" ref="C120"/>
    <hyperlink r:id="rId172" ref="C121"/>
    <hyperlink r:id="rId173" ref="C122"/>
    <hyperlink r:id="rId174" ref="C123"/>
    <hyperlink r:id="rId175" ref="C124"/>
    <hyperlink r:id="rId176" ref="C125"/>
    <hyperlink r:id="rId177" ref="C126"/>
  </hyperlinks>
  <drawing r:id="rId178"/>
</worksheet>
</file>